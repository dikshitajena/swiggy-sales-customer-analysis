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e37bd3a1cc61970/Documents/"/>
    </mc:Choice>
  </mc:AlternateContent>
  <xr:revisionPtr revIDLastSave="1048" documentId="8_{D8872C3A-5399-4F11-A843-3642E2A484C1}" xr6:coauthVersionLast="47" xr6:coauthVersionMax="47" xr10:uidLastSave="{5E0451BA-A377-43D1-AF24-EB89265ACD7F}"/>
  <bookViews>
    <workbookView xWindow="-108" yWindow="-108" windowWidth="23256" windowHeight="12456" tabRatio="913" xr2:uid="{2A20ED81-9938-4C6F-A823-469F2FDE9DCF}"/>
  </bookViews>
  <sheets>
    <sheet name="Interactive_Dashboard" sheetId="17" r:id="rId1"/>
    <sheet name="Product_Performance" sheetId="12" r:id="rId2"/>
    <sheet name="Customer_Analysis" sheetId="13" r:id="rId3"/>
    <sheet name="Discount_Analysis" sheetId="14" r:id="rId4"/>
    <sheet name="Location Analysis" sheetId="15" r:id="rId5"/>
    <sheet name="Sales_Trend" sheetId="16" r:id="rId6"/>
    <sheet name="Cleaned_Swiggy_Dataset" sheetId="11" r:id="rId7"/>
    <sheet name="Advanced - Swiggy Orders Data" sheetId="10" r:id="rId8"/>
    <sheet name="Swiggy Orders Raw Data " sheetId="9" r:id="rId9"/>
  </sheets>
  <definedNames>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 localSheetId="7">OFFSET(#REF!,COUNTA(#REF!)-n,0,n,1)</definedName>
    <definedName name="dyn_lastn_dates" localSheetId="6">OFFSET(#REF!,COUNTA(#REF!)-n,0,n,1)</definedName>
    <definedName name="dyn_lastn_dates" localSheetId="8">OFFSET(#REF!,COUNTA(#REF!)-n,0,n,1)</definedName>
    <definedName name="dyn_lastn_dates">OFFSET(#REF!,COUNTA(#REF!)-n,0,n,1)</definedName>
    <definedName name="dyn_lastn_values" localSheetId="7">OFFSET(#REF!,COUNTA(#REF!)-n,1,n,1)</definedName>
    <definedName name="dyn_lastn_values" localSheetId="6">OFFSET(#REF!,COUNTA(#REF!)-n,1,n,1)</definedName>
    <definedName name="dyn_lastn_values" localSheetId="8">OFFSET(#REF!,COUNTA(#REF!)-n,1,n,1)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ExternalData_1" localSheetId="6" hidden="1">Cleaned_Swiggy_Dataset!$A$1:$I$580</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ativeTimeline_Date">#N/A</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Customer_Type">#N/A</definedName>
    <definedName name="State">#REF!</definedName>
    <definedName name="TaxExp.">#REF!</definedName>
    <definedName name="taxrate">#REF!</definedName>
    <definedName name="Total_Profit">#REF!</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11" l="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X1" i="17"/>
  <c r="U1" i="17"/>
  <c r="R1" i="17"/>
  <c r="N1" i="17"/>
  <c r="K3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tc={97E4077D-0EBB-4B85-9482-2201234EA048}</author>
  </authors>
  <commentList>
    <comment ref="A10" authorId="0" shapeId="0" xr:uid="{97E4077D-0EBB-4B85-9482-2201234EA048}">
      <text>
        <t xml:space="preserve">[Threaded comment]
Your version of Excel allows you to read this threaded comment; however, any edits to it will get removed if the file is opened in a newer version of Excel. Learn more: https://go.microsoft.com/fwlink/?linkid=870924
Comment:
    Data limitation: 14 April 2025 was excluded from this sales-trend view because of suspected order-ID data-entry anomalies and unusually high recorded activity. The date has not been corrected or reconstructed due to the absence of verified source data. Other analyses retain the original records, so their totals may differ from the sales-trend total.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97B55D-4AC4-4C5F-9CC9-BCEC8F32053E}"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<sst xmlns="http://schemas.openxmlformats.org/spreadsheetml/2006/main" count="8798" uniqueCount="446">
  <si>
    <t>Quantity</t>
  </si>
  <si>
    <t>Date</t>
  </si>
  <si>
    <t>May</t>
  </si>
  <si>
    <t>Order_ID|Date</t>
  </si>
  <si>
    <t>Item_Name</t>
  </si>
  <si>
    <t>Total_Price</t>
  </si>
  <si>
    <t>Customer_Type</t>
  </si>
  <si>
    <t>Feedback</t>
  </si>
  <si>
    <t>Discount_Applied</t>
  </si>
  <si>
    <t>Delivery_Location</t>
  </si>
  <si>
    <t xml:space="preserve">SW-101 | 2025-04-01 </t>
  </si>
  <si>
    <t xml:space="preserve"> veg biryani | 2 | 400 | returning | Good | 0 | Connaught Place</t>
  </si>
  <si>
    <t>SW-102 |2025-04-02</t>
  </si>
  <si>
    <t>Chicken Tikka Masala</t>
  </si>
  <si>
    <t>New</t>
  </si>
  <si>
    <t>Excellent</t>
  </si>
  <si>
    <t xml:space="preserve"> 50 | Saket</t>
  </si>
  <si>
    <t>sw-103|2025-04-02</t>
  </si>
  <si>
    <t xml:space="preserve">  Butter Naan |4</t>
  </si>
  <si>
    <t xml:space="preserve"> Returning |Average</t>
  </si>
  <si>
    <t xml:space="preserve"> Karol Bagh</t>
  </si>
  <si>
    <t xml:space="preserve">SW-104 | 2025-04-05 </t>
  </si>
  <si>
    <t xml:space="preserve"> Paneer Butter Masala | 1 | 250 </t>
  </si>
  <si>
    <t xml:space="preserve"> new | Good | 20 | Hauz Khas</t>
  </si>
  <si>
    <t>SW-105|2025-04-06</t>
  </si>
  <si>
    <t>Garlic Bread| 2 |180</t>
  </si>
  <si>
    <t>Returning</t>
  </si>
  <si>
    <t>Good</t>
  </si>
  <si>
    <t>Lajpat Nagar</t>
  </si>
  <si>
    <t>sw-106 | 2025-04-06</t>
  </si>
  <si>
    <t xml:space="preserve"> veg biryani | 1 | 200 </t>
  </si>
  <si>
    <t xml:space="preserve"> New </t>
  </si>
  <si>
    <t xml:space="preserve"> Average | 10 | Connaught Place</t>
  </si>
  <si>
    <t xml:space="preserve">SW-107 | 2025-04-08 </t>
  </si>
  <si>
    <t xml:space="preserve"> Chicken Biryani | 2 | 500 </t>
  </si>
  <si>
    <t xml:space="preserve"> RETURNING </t>
  </si>
  <si>
    <t xml:space="preserve"> EXCELLENT | 0 | Rajouri Garden</t>
  </si>
  <si>
    <t>SW-108|2025-04-08</t>
  </si>
  <si>
    <t xml:space="preserve"> Dal Makhani |1| 180 </t>
  </si>
  <si>
    <t xml:space="preserve"> returning | Good | 30 | Saket</t>
  </si>
  <si>
    <t xml:space="preserve">sw-109| 2025-04-09 | Mixed Veg Curry | 3 | 450 </t>
  </si>
  <si>
    <t xml:space="preserve"> new </t>
  </si>
  <si>
    <t xml:space="preserve"> average | 0 | Karol Bagh</t>
  </si>
  <si>
    <t xml:space="preserve">SW-110 | 2025-04-10 </t>
  </si>
  <si>
    <t xml:space="preserve"> Fish Curry | 1 | 300 | RETURNING | EXCELLENT | 50 | Lajpat Nagar</t>
  </si>
  <si>
    <t xml:space="preserve">SW-111 | 2025-04-10 </t>
  </si>
  <si>
    <t xml:space="preserve"> cheese garlic bread | 2 | 260 | new | Good | 0 | Hauz Khas</t>
  </si>
  <si>
    <t xml:space="preserve">sw-112 | 2025-04-12 </t>
  </si>
  <si>
    <t xml:space="preserve"> Mutton Biryani | 1 | 350 | Returning | Excellent | 0 | Rajouri Garden</t>
  </si>
  <si>
    <t xml:space="preserve">SW-113 | 2025-04-12 </t>
  </si>
  <si>
    <t xml:space="preserve"> veg pulao | 3 | 420 | new | Average | 40 | Connaught Place</t>
  </si>
  <si>
    <t xml:space="preserve">SW-114| 2025-04-14 </t>
  </si>
  <si>
    <t xml:space="preserve"> Dal Tadka | 2 | 240 | Returning | Excellent | 0 </t>
  </si>
  <si>
    <t xml:space="preserve"> Punjabi Bagh</t>
  </si>
  <si>
    <t xml:space="preserve">SW-115 |2025-04-14 </t>
  </si>
  <si>
    <t xml:space="preserve"> Mutton Rogan Josh | 1 | 450 </t>
  </si>
  <si>
    <t xml:space="preserve"> New | Good </t>
  </si>
  <si>
    <t xml:space="preserve"> Vasant Kunj</t>
  </si>
  <si>
    <t xml:space="preserve">SW-116| 2025-04-15 </t>
  </si>
  <si>
    <t xml:space="preserve"> Butter Chicken | 2 | 500 </t>
  </si>
  <si>
    <t xml:space="preserve"> Returning </t>
  </si>
  <si>
    <t xml:space="preserve"> Excellent </t>
  </si>
  <si>
    <t xml:space="preserve"> 0 | Noida Sector 18</t>
  </si>
  <si>
    <t xml:space="preserve">SW-117 | 2025-04-16 </t>
  </si>
  <si>
    <t xml:space="preserve"> veg hakka noodles | 1 | 220 </t>
  </si>
  <si>
    <t xml:space="preserve"> Good </t>
  </si>
  <si>
    <t xml:space="preserve"> 20 | Greater Noida</t>
  </si>
  <si>
    <t xml:space="preserve">SW-118| 2025-04-16 </t>
  </si>
  <si>
    <t xml:space="preserve"> Garlic Naan </t>
  </si>
  <si>
    <t xml:space="preserve"> 3 | 180 </t>
  </si>
  <si>
    <t xml:space="preserve"> Average </t>
  </si>
  <si>
    <t xml:space="preserve"> Noida Sector 62</t>
  </si>
  <si>
    <t xml:space="preserve">SW-119 |2025-04-17 </t>
  </si>
  <si>
    <t xml:space="preserve"> kadai paneer | 1 | 280 </t>
  </si>
  <si>
    <t xml:space="preserve"> Indirapuram</t>
  </si>
  <si>
    <t xml:space="preserve">SW-120| 2025-04-18 </t>
  </si>
  <si>
    <t xml:space="preserve"> Chicken Biryani | 2 </t>
  </si>
  <si>
    <t xml:space="preserve"> 10 | Vaishali</t>
  </si>
  <si>
    <t xml:space="preserve">SW-121 | 2025-04-18 </t>
  </si>
  <si>
    <t xml:space="preserve"> Veg Pulao </t>
  </si>
  <si>
    <t xml:space="preserve"> 0 | Noida Sector 15</t>
  </si>
  <si>
    <t xml:space="preserve">SW-122 | 2025-04-19 </t>
  </si>
  <si>
    <t xml:space="preserve"> Mutton Korma | 1 | 380 </t>
  </si>
  <si>
    <t xml:space="preserve"> 25 | Noida Sector 18</t>
  </si>
  <si>
    <t>SW-123|2025-04-20</t>
  </si>
  <si>
    <t xml:space="preserve"> dal makhani |2 | 200 </t>
  </si>
  <si>
    <t xml:space="preserve"> 0 | Greater Noida</t>
  </si>
  <si>
    <t xml:space="preserve">SW-124 | 2025-04-20 </t>
  </si>
  <si>
    <t xml:space="preserve"> Jeera Rice | 1 | 140 </t>
  </si>
  <si>
    <t xml:space="preserve">SW-125|2025-04-21 </t>
  </si>
  <si>
    <t xml:space="preserve"> Tandoori Roti | 4 </t>
  </si>
  <si>
    <t xml:space="preserve">SW-126 | 2025-04-22 </t>
  </si>
  <si>
    <t xml:space="preserve"> malai kofta | 2 </t>
  </si>
  <si>
    <t xml:space="preserve"> Vaishali</t>
  </si>
  <si>
    <t xml:space="preserve">SW-127| 2025-04-22 </t>
  </si>
  <si>
    <t xml:space="preserve"> Fish Curry | 1 </t>
  </si>
  <si>
    <t xml:space="preserve"> 15 | Noida Sector 18</t>
  </si>
  <si>
    <t xml:space="preserve">SW-128 | 2025-04-23 </t>
  </si>
  <si>
    <t xml:space="preserve"> Chana Masala | 2 | 240 </t>
  </si>
  <si>
    <t xml:space="preserve">SW-129|2025-04-24 </t>
  </si>
  <si>
    <t xml:space="preserve"> Paneer Tikka Masala | 1 | 300 </t>
  </si>
  <si>
    <t xml:space="preserve">SW-130 | 2025-04-24 </t>
  </si>
  <si>
    <t xml:space="preserve"> butter naan | 3 </t>
  </si>
  <si>
    <t xml:space="preserve"> 0 | Noida Sector 62</t>
  </si>
  <si>
    <t xml:space="preserve">SW-131| 2025-04-25 </t>
  </si>
  <si>
    <t xml:space="preserve"> Veg Biryani | 2 | 400 </t>
  </si>
  <si>
    <t xml:space="preserve"> 0 | Indirapuram</t>
  </si>
  <si>
    <t xml:space="preserve">SW-132 | 2025-04-26 </t>
  </si>
  <si>
    <t xml:space="preserve"> Chicken Tikka | 1 </t>
  </si>
  <si>
    <t xml:space="preserve">SW-133| 2025-04-26 </t>
  </si>
  <si>
    <t xml:space="preserve"> Dal Tadka | 1 </t>
  </si>
  <si>
    <t xml:space="preserve">SW-134 | 2025-04-27 </t>
  </si>
  <si>
    <t xml:space="preserve"> MIXED VEG CURRY | 2 </t>
  </si>
  <si>
    <t xml:space="preserve">SW-135|2025-04-28 </t>
  </si>
  <si>
    <t xml:space="preserve"> Gulab Jamun </t>
  </si>
  <si>
    <t xml:space="preserve"> Greater Noida</t>
  </si>
  <si>
    <t xml:space="preserve">SW-136 | 2025-04-28 </t>
  </si>
  <si>
    <t xml:space="preserve"> Raita | 2 </t>
  </si>
  <si>
    <t xml:space="preserve">SW-137| 2025-04-29 </t>
  </si>
  <si>
    <t xml:space="preserve"> Shahi Paneer | 1 </t>
  </si>
  <si>
    <t xml:space="preserve"> 20 | Indirapuram</t>
  </si>
  <si>
    <t xml:space="preserve">SW-138 | 2025-04-30 </t>
  </si>
  <si>
    <t xml:space="preserve"> laccha paratha | 3 </t>
  </si>
  <si>
    <t xml:space="preserve"> 0 | Vaishali</t>
  </si>
  <si>
    <t xml:space="preserve">SW-139|2025-04-30 </t>
  </si>
  <si>
    <t xml:space="preserve"> Mutton Rogan Josh </t>
  </si>
  <si>
    <t xml:space="preserve"> Noida Sector 18</t>
  </si>
  <si>
    <t xml:space="preserve">SW-140 | 2025-05-01 </t>
  </si>
  <si>
    <t xml:space="preserve"> Egg Curry | 2 </t>
  </si>
  <si>
    <t xml:space="preserve">SW-141| 2025-05-02 </t>
  </si>
  <si>
    <t xml:space="preserve"> veg spring rolls | 3 </t>
  </si>
  <si>
    <t xml:space="preserve">SW-142 | 2025-05-02 </t>
  </si>
  <si>
    <t xml:space="preserve"> Veg Manchurian | 1 </t>
  </si>
  <si>
    <t xml:space="preserve">SW-143|2025-05-03 </t>
  </si>
  <si>
    <t xml:space="preserve"> Dal Fry | 2 </t>
  </si>
  <si>
    <t xml:space="preserve">SW-144 | 2025-05-04 </t>
  </si>
  <si>
    <t xml:space="preserve"> Kadhai Chicken | 1 </t>
  </si>
  <si>
    <t xml:space="preserve">SW-145| 2025-05-04 </t>
  </si>
  <si>
    <t xml:space="preserve"> Butter Naan | 4 </t>
  </si>
  <si>
    <t xml:space="preserve">SW-146 | 2025-05-05 </t>
  </si>
  <si>
    <t xml:space="preserve"> Paneer Butter Masala | 1 </t>
  </si>
  <si>
    <t xml:space="preserve"> 30 | Noida Sector 15</t>
  </si>
  <si>
    <t xml:space="preserve">SW-147| 2025-05-06 </t>
  </si>
  <si>
    <t xml:space="preserve"> Garlic Bread | 2 </t>
  </si>
  <si>
    <t xml:space="preserve">SW-148 | 2025-05-06 </t>
  </si>
  <si>
    <t xml:space="preserve"> Veg Biryani | 1 </t>
  </si>
  <si>
    <t xml:space="preserve">SW-149|2025-05-07 </t>
  </si>
  <si>
    <t xml:space="preserve">SW-150 | 2025-05-08 </t>
  </si>
  <si>
    <t xml:space="preserve"> Dal Makhani | 1 </t>
  </si>
  <si>
    <t xml:space="preserve">SW-151| 2025-05-08 </t>
  </si>
  <si>
    <t xml:space="preserve"> Mixed Veg Curry | 3 </t>
  </si>
  <si>
    <t xml:space="preserve"> 20 | Noida Sector 18</t>
  </si>
  <si>
    <t xml:space="preserve">SW-152 | 2025-05-09 </t>
  </si>
  <si>
    <t xml:space="preserve">SW-153| 2025-05-10 </t>
  </si>
  <si>
    <t xml:space="preserve"> cheese garlic bread | 2 </t>
  </si>
  <si>
    <t xml:space="preserve">SW-154 | 2025-05-10 </t>
  </si>
  <si>
    <t xml:space="preserve"> Mutton Biryani | 1 </t>
  </si>
  <si>
    <t xml:space="preserve"> 25 | Noida Sector 62</t>
  </si>
  <si>
    <t xml:space="preserve">SW-155|2025-05-11 </t>
  </si>
  <si>
    <t xml:space="preserve"> veg pulao | 3 </t>
  </si>
  <si>
    <t xml:space="preserve">SW-156 | 2025-05-12 </t>
  </si>
  <si>
    <t xml:space="preserve"> Butter Chicken | 2 </t>
  </si>
  <si>
    <t xml:space="preserve">SW-157| 2025-05-12 </t>
  </si>
  <si>
    <t xml:space="preserve"> veg hakka noodles | 1 </t>
  </si>
  <si>
    <t xml:space="preserve"> 10 | Noida Sector 18</t>
  </si>
  <si>
    <t xml:space="preserve">SW-158 | 2025-05-13 </t>
  </si>
  <si>
    <t xml:space="preserve"> Garlic Naan | 3 </t>
  </si>
  <si>
    <t xml:space="preserve">SW-159|2025-05-14 </t>
  </si>
  <si>
    <t xml:space="preserve"> kadai paneer | 1 </t>
  </si>
  <si>
    <t xml:space="preserve">SW-160 | 2025-05-14 </t>
  </si>
  <si>
    <t xml:space="preserve"> 15 | Noida Sector 62</t>
  </si>
  <si>
    <t xml:space="preserve">SW-161| 2025-05-15 </t>
  </si>
  <si>
    <t xml:space="preserve"> Veg Pulao | 1 </t>
  </si>
  <si>
    <t xml:space="preserve">SW-162 | 2025-05-15 </t>
  </si>
  <si>
    <t xml:space="preserve"> Mutton Korma | 1 </t>
  </si>
  <si>
    <t xml:space="preserve">SW-163|2025-05-16 </t>
  </si>
  <si>
    <t xml:space="preserve"> dal makhani | 2 </t>
  </si>
  <si>
    <t xml:space="preserve">SW-164 | 2025-05-16 </t>
  </si>
  <si>
    <t xml:space="preserve"> Jeera Rice | 1 </t>
  </si>
  <si>
    <t xml:space="preserve">SW-165| 2025-05-17 </t>
  </si>
  <si>
    <t xml:space="preserve">SW-166| 2025-05-17 </t>
  </si>
  <si>
    <t xml:space="preserve">SW-167 | 2025-05-18 </t>
  </si>
  <si>
    <t xml:space="preserve">SW-168| 2025-05-18 </t>
  </si>
  <si>
    <t xml:space="preserve">SW-169 | 2025-05-19 </t>
  </si>
  <si>
    <t xml:space="preserve">SW-170| 2025-05-20 </t>
  </si>
  <si>
    <t xml:space="preserve">SW-171 | 2025-05-20 </t>
  </si>
  <si>
    <t xml:space="preserve">SW-172 | 2025-05-21 </t>
  </si>
  <si>
    <t>SW-173|2025-05-22</t>
  </si>
  <si>
    <t xml:space="preserve"> Mutton Korma |1 | 380 </t>
  </si>
  <si>
    <t xml:space="preserve">SW-174 | 2025-05-22 </t>
  </si>
  <si>
    <t xml:space="preserve"> dal makhani | 2 | 200 </t>
  </si>
  <si>
    <t xml:space="preserve">SW-175|2025-05-23 </t>
  </si>
  <si>
    <t xml:space="preserve">SW-176 | 2025-05-24 </t>
  </si>
  <si>
    <t xml:space="preserve">SW-177| 2025-05-24 </t>
  </si>
  <si>
    <t xml:space="preserve">SW-178 | 2025-05-25 </t>
  </si>
  <si>
    <t xml:space="preserve"> Noida Sector 15</t>
  </si>
  <si>
    <t xml:space="preserve">SW-179|2025-05-26 </t>
  </si>
  <si>
    <t xml:space="preserve">SW-180 | 2025-05-26 </t>
  </si>
  <si>
    <t xml:space="preserve"> Paneer Tikka Masala | 1 </t>
  </si>
  <si>
    <t xml:space="preserve">SW-181| 2025-05-27 </t>
  </si>
  <si>
    <t xml:space="preserve">SW-182 | 2025-05-28 </t>
  </si>
  <si>
    <t xml:space="preserve"> Veg Biryani | 2 </t>
  </si>
  <si>
    <t xml:space="preserve">SW-183| 2025-05-28 </t>
  </si>
  <si>
    <t xml:space="preserve">SW-184 | 2025-05-29 </t>
  </si>
  <si>
    <t xml:space="preserve"> 15 | Noida Sector 15</t>
  </si>
  <si>
    <t xml:space="preserve">SW-185|2025-05-30 </t>
  </si>
  <si>
    <t xml:space="preserve">SW-186 | 2025-05-30 </t>
  </si>
  <si>
    <t xml:space="preserve"> Gulab Jamun | 3 </t>
  </si>
  <si>
    <t xml:space="preserve">SW-187| 2025-05-31 </t>
  </si>
  <si>
    <t xml:space="preserve">SW-188 | 2025-06-01 </t>
  </si>
  <si>
    <t xml:space="preserve">SW-189|2025-06-01 </t>
  </si>
  <si>
    <t xml:space="preserve">SW-190 | 2025-06-02 </t>
  </si>
  <si>
    <t xml:space="preserve"> Mutton Rogan Josh | 1 </t>
  </si>
  <si>
    <t xml:space="preserve">SW-191| 2025-06-03 </t>
  </si>
  <si>
    <t xml:space="preserve">SW-192 | 2025-06-03 </t>
  </si>
  <si>
    <t xml:space="preserve">SW-193|2025-06-04 </t>
  </si>
  <si>
    <t xml:space="preserve">SW-194 | 2025-06-05 </t>
  </si>
  <si>
    <t xml:space="preserve">SW-195| 2025-06-05 </t>
  </si>
  <si>
    <t xml:space="preserve">SW-196 | 2025-06-06 </t>
  </si>
  <si>
    <t xml:space="preserve">SW-197| 2025-06-07 </t>
  </si>
  <si>
    <t xml:space="preserve"> 15 | Greater Noida</t>
  </si>
  <si>
    <t xml:space="preserve">SW-198 | 2025-06-07 </t>
  </si>
  <si>
    <t xml:space="preserve">SW-199|2025-06-08 </t>
  </si>
  <si>
    <t xml:space="preserve">SW-200 | 2025-06-09 </t>
  </si>
  <si>
    <t xml:space="preserve">SW-201| 2025-06-09 </t>
  </si>
  <si>
    <t xml:space="preserve">SW-202 | 2025-06-10 </t>
  </si>
  <si>
    <t xml:space="preserve">SW-203|2025-06-10 </t>
  </si>
  <si>
    <t xml:space="preserve">SW-204 | 2025-06-11 </t>
  </si>
  <si>
    <t xml:space="preserve">SW-205| 2025-06-12 </t>
  </si>
  <si>
    <t xml:space="preserve">SW-206 | 2025-06-12 </t>
  </si>
  <si>
    <t xml:space="preserve"> 20 | Vaishali</t>
  </si>
  <si>
    <t xml:space="preserve">SW-207| 2025-06-13 </t>
  </si>
  <si>
    <t xml:space="preserve">SW-208 | 2025-06-14 </t>
  </si>
  <si>
    <t xml:space="preserve">SW-209|2025-06-14 </t>
  </si>
  <si>
    <t xml:space="preserve">SW-210 | 2025-06-15 </t>
  </si>
  <si>
    <t xml:space="preserve">SW-211| 2025-06-16 </t>
  </si>
  <si>
    <t xml:space="preserve">SW-212 | 2025-06-16 </t>
  </si>
  <si>
    <t xml:space="preserve">SW-213|2025-06-17 </t>
  </si>
  <si>
    <t xml:space="preserve">SW-214 | 2025-06-18 </t>
  </si>
  <si>
    <t xml:space="preserve">SW-215| 2025-06-18 </t>
  </si>
  <si>
    <t xml:space="preserve">SW-216|  2025-04-14 </t>
  </si>
  <si>
    <t>Client's Requirement:</t>
  </si>
  <si>
    <t>Top 5 products by sales</t>
  </si>
  <si>
    <t>sw-109| 2025-04-09</t>
  </si>
  <si>
    <t>Mixed Veg Curry</t>
  </si>
  <si>
    <t>new</t>
  </si>
  <si>
    <t>average</t>
  </si>
  <si>
    <t>Order_ID</t>
  </si>
  <si>
    <t>Discount_applied</t>
  </si>
  <si>
    <t>Delivery Location</t>
  </si>
  <si>
    <t>SW-101</t>
  </si>
  <si>
    <t>Veg Biryani</t>
  </si>
  <si>
    <t>Connaught Place</t>
  </si>
  <si>
    <t>SW-102</t>
  </si>
  <si>
    <t>Saket</t>
  </si>
  <si>
    <t>SW-103</t>
  </si>
  <si>
    <t>Butter Naan</t>
  </si>
  <si>
    <t>Average</t>
  </si>
  <si>
    <t>Karol Bagh</t>
  </si>
  <si>
    <t>SW-104</t>
  </si>
  <si>
    <t>Paneer Butter Masala</t>
  </si>
  <si>
    <t>Hauz Khas</t>
  </si>
  <si>
    <t>SW-105</t>
  </si>
  <si>
    <t>Garlic Bread</t>
  </si>
  <si>
    <t>SW-106</t>
  </si>
  <si>
    <t>SW-107</t>
  </si>
  <si>
    <t>Chicken Biryani</t>
  </si>
  <si>
    <t>Rajouri Garden</t>
  </si>
  <si>
    <t>SW-108</t>
  </si>
  <si>
    <t>Dal Makhani</t>
  </si>
  <si>
    <t>SW-109</t>
  </si>
  <si>
    <t>SW-110</t>
  </si>
  <si>
    <t>Fish Curry</t>
  </si>
  <si>
    <t>SW-111</t>
  </si>
  <si>
    <t>Cheese Garlic Bread</t>
  </si>
  <si>
    <t>SW-112</t>
  </si>
  <si>
    <t>Mutton Biryani</t>
  </si>
  <si>
    <t>SW-113</t>
  </si>
  <si>
    <t>Veg Pulao</t>
  </si>
  <si>
    <t>SW-114</t>
  </si>
  <si>
    <t>Dal Tadka</t>
  </si>
  <si>
    <t>Punjabi Bagh</t>
  </si>
  <si>
    <t>SW-115</t>
  </si>
  <si>
    <t>Mutton Rogan Josh</t>
  </si>
  <si>
    <t>Vasant Kunj</t>
  </si>
  <si>
    <t>SW-116</t>
  </si>
  <si>
    <t>Butter Chicken</t>
  </si>
  <si>
    <t>Noida Sector 18</t>
  </si>
  <si>
    <t>SW-117</t>
  </si>
  <si>
    <t>Veg Hakka Noodles</t>
  </si>
  <si>
    <t>Greater Noida</t>
  </si>
  <si>
    <t>SW-118</t>
  </si>
  <si>
    <t>Garlic Naan</t>
  </si>
  <si>
    <t>Noida Sector 62</t>
  </si>
  <si>
    <t>SW-119</t>
  </si>
  <si>
    <t>Kadai Paneer</t>
  </si>
  <si>
    <t>Indirapuram</t>
  </si>
  <si>
    <t>SW-120</t>
  </si>
  <si>
    <t>Vaishali</t>
  </si>
  <si>
    <t>SW-121</t>
  </si>
  <si>
    <t>Noida Sector 15</t>
  </si>
  <si>
    <t>SW-122</t>
  </si>
  <si>
    <t>Mutton Korma</t>
  </si>
  <si>
    <t>SW-123</t>
  </si>
  <si>
    <t>SW-124</t>
  </si>
  <si>
    <t>Jeera Rice</t>
  </si>
  <si>
    <t>SW-125</t>
  </si>
  <si>
    <t>Tandoori Roti</t>
  </si>
  <si>
    <t>SW-126</t>
  </si>
  <si>
    <t>Malai Kofta</t>
  </si>
  <si>
    <t>SW-127</t>
  </si>
  <si>
    <t>SW-128</t>
  </si>
  <si>
    <t>Chana Masala</t>
  </si>
  <si>
    <t>SW-129</t>
  </si>
  <si>
    <t>Paneer Tikka Masala</t>
  </si>
  <si>
    <t>SW-130</t>
  </si>
  <si>
    <t>SW-131</t>
  </si>
  <si>
    <t>SW-132</t>
  </si>
  <si>
    <t>Chicken Tikka</t>
  </si>
  <si>
    <t>SW-133</t>
  </si>
  <si>
    <t>SW-134</t>
  </si>
  <si>
    <t>SW-135</t>
  </si>
  <si>
    <t>Gulab Jamun</t>
  </si>
  <si>
    <t>SW-136</t>
  </si>
  <si>
    <t>Raita</t>
  </si>
  <si>
    <t>SW-137</t>
  </si>
  <si>
    <t>Shahi Paneer</t>
  </si>
  <si>
    <t>SW-138</t>
  </si>
  <si>
    <t>Laccha Paratha</t>
  </si>
  <si>
    <t>SW-139</t>
  </si>
  <si>
    <t>SW-140</t>
  </si>
  <si>
    <t>Egg Curry</t>
  </si>
  <si>
    <t>SW-141</t>
  </si>
  <si>
    <t>Veg Spring Rolls</t>
  </si>
  <si>
    <t>SW-142</t>
  </si>
  <si>
    <t>Veg Manchurian</t>
  </si>
  <si>
    <t>SW-143</t>
  </si>
  <si>
    <t>Dal Fry</t>
  </si>
  <si>
    <t>SW-144</t>
  </si>
  <si>
    <t>Kadhai Chicken</t>
  </si>
  <si>
    <t>SW-145</t>
  </si>
  <si>
    <t>SW-146</t>
  </si>
  <si>
    <t>SW-147</t>
  </si>
  <si>
    <t>SW-148</t>
  </si>
  <si>
    <t>SW-149</t>
  </si>
  <si>
    <t>SW-150</t>
  </si>
  <si>
    <t>SW-151</t>
  </si>
  <si>
    <t>SW-152</t>
  </si>
  <si>
    <t>SW-153</t>
  </si>
  <si>
    <t>SW-154</t>
  </si>
  <si>
    <t>SW-155</t>
  </si>
  <si>
    <t>SW-156</t>
  </si>
  <si>
    <t>SW-157</t>
  </si>
  <si>
    <t>SW-158</t>
  </si>
  <si>
    <t>SW-159</t>
  </si>
  <si>
    <t>SW-160</t>
  </si>
  <si>
    <t>SW-161</t>
  </si>
  <si>
    <t>SW-162</t>
  </si>
  <si>
    <t>SW-163</t>
  </si>
  <si>
    <t>SW-164</t>
  </si>
  <si>
    <t>SW-165</t>
  </si>
  <si>
    <t>SW-166</t>
  </si>
  <si>
    <t>SW-167</t>
  </si>
  <si>
    <t>SW-168</t>
  </si>
  <si>
    <t>SW-169</t>
  </si>
  <si>
    <t>SW-170</t>
  </si>
  <si>
    <t>SW-171</t>
  </si>
  <si>
    <t>SW-172</t>
  </si>
  <si>
    <t>SW-173</t>
  </si>
  <si>
    <t>SW-174</t>
  </si>
  <si>
    <t>SW-175</t>
  </si>
  <si>
    <t>SW-176</t>
  </si>
  <si>
    <t>SW-177</t>
  </si>
  <si>
    <t>SW-178</t>
  </si>
  <si>
    <t>SW-179</t>
  </si>
  <si>
    <t>SW-180</t>
  </si>
  <si>
    <t>SW-181</t>
  </si>
  <si>
    <t>SW-182</t>
  </si>
  <si>
    <t>SW-183</t>
  </si>
  <si>
    <t>SW-184</t>
  </si>
  <si>
    <t>SW-185</t>
  </si>
  <si>
    <t>SW-186</t>
  </si>
  <si>
    <t>SW-187</t>
  </si>
  <si>
    <t>SW-188</t>
  </si>
  <si>
    <t>SW-189</t>
  </si>
  <si>
    <t>SW-190</t>
  </si>
  <si>
    <t>SW-191</t>
  </si>
  <si>
    <t>SW-192</t>
  </si>
  <si>
    <t>SW-193</t>
  </si>
  <si>
    <t>SW-194</t>
  </si>
  <si>
    <t>SW-195</t>
  </si>
  <si>
    <t>SW-196</t>
  </si>
  <si>
    <t>SW-197</t>
  </si>
  <si>
    <t>SW-198</t>
  </si>
  <si>
    <t>SW-199</t>
  </si>
  <si>
    <t>SW-200</t>
  </si>
  <si>
    <t>SW-201</t>
  </si>
  <si>
    <t>SW-202</t>
  </si>
  <si>
    <t>SW-203</t>
  </si>
  <si>
    <t>SW-204</t>
  </si>
  <si>
    <t>SW-205</t>
  </si>
  <si>
    <t>SW-206</t>
  </si>
  <si>
    <t>SW-207</t>
  </si>
  <si>
    <t>SW-208</t>
  </si>
  <si>
    <t>SW-209</t>
  </si>
  <si>
    <t>SW-210</t>
  </si>
  <si>
    <t>SW-211</t>
  </si>
  <si>
    <t>SW-212</t>
  </si>
  <si>
    <t>SW-213</t>
  </si>
  <si>
    <t>SW-214</t>
  </si>
  <si>
    <t>SW-215</t>
  </si>
  <si>
    <t>SW-216</t>
  </si>
  <si>
    <t>Row Labels</t>
  </si>
  <si>
    <t>Grand Total</t>
  </si>
  <si>
    <t>Total_Sales</t>
  </si>
  <si>
    <t>Share in Sales</t>
  </si>
  <si>
    <t>Column Labels</t>
  </si>
  <si>
    <t>Orders</t>
  </si>
  <si>
    <t>Discount_Status</t>
  </si>
  <si>
    <t>Discount Applied</t>
  </si>
  <si>
    <t>No Discount</t>
  </si>
  <si>
    <t>NA</t>
  </si>
  <si>
    <t>Apr</t>
  </si>
  <si>
    <t>Jun</t>
  </si>
  <si>
    <r>
      <rPr>
        <b/>
        <sz val="16"/>
        <color theme="0"/>
        <rFont val="Aptos Narrow"/>
        <family val="2"/>
        <scheme val="minor"/>
      </rPr>
      <t>Business Findings</t>
    </r>
    <r>
      <rPr>
        <sz val="11"/>
        <color theme="0"/>
        <rFont val="Aptos Narrow"/>
        <family val="2"/>
        <scheme val="minor"/>
      </rPr>
      <t xml:space="preserve">
</t>
    </r>
    <r>
      <rPr>
        <sz val="14"/>
        <color theme="0"/>
        <rFont val="Aptos Narrow"/>
        <family val="2"/>
        <scheme val="minor"/>
      </rPr>
      <t xml:space="preserve">Chicken Biryani is the highest-selling product by total sales value, contributing ₹16,000. Butter Chicken ranks second at ₹10,000. Several other products, including Mutton Rogan Josh and Mixed Veg Curry, also generate substantial sales.
The seven products occupying the top five rank positions account for approximately </t>
    </r>
    <r>
      <rPr>
        <b/>
        <sz val="14"/>
        <color theme="0"/>
        <rFont val="Aptos Narrow"/>
        <family val="2"/>
        <scheme val="minor"/>
      </rPr>
      <t>42.08% of total sales of ₹158,410</t>
    </r>
    <r>
      <rPr>
        <sz val="14"/>
        <color theme="0"/>
        <rFont val="Aptos Narrow"/>
        <family val="2"/>
        <scheme val="minor"/>
      </rPr>
      <t>. Ties in the rankings result in seven products being included.</t>
    </r>
  </si>
  <si>
    <r>
      <rPr>
        <b/>
        <sz val="16"/>
        <color theme="0"/>
        <rFont val="Aptos Narrow"/>
        <family val="2"/>
        <scheme val="minor"/>
      </rPr>
      <t>Recommended Action</t>
    </r>
    <r>
      <rPr>
        <sz val="11"/>
        <color theme="0"/>
        <rFont val="Aptos Narrow"/>
        <family val="2"/>
        <scheme val="minor"/>
      </rPr>
      <t xml:space="preserve">
</t>
    </r>
    <r>
      <rPr>
        <sz val="14"/>
        <color theme="0"/>
        <rFont val="Aptos Narrow"/>
        <family val="2"/>
        <scheme val="minor"/>
      </rPr>
      <t>Prioritise the availability and visibility of leading products, monitor their sales consistently, and investigate whether their contribution is supported by healthy profit margins. Consider testing promotions for lower-performing products rather than assuming they need discounts.</t>
    </r>
    <r>
      <rPr>
        <sz val="11"/>
        <color theme="0"/>
        <rFont val="Aptos Narrow"/>
        <family val="2"/>
        <scheme val="minor"/>
      </rPr>
      <t xml:space="preserve">
</t>
    </r>
    <r>
      <rPr>
        <b/>
        <sz val="16"/>
        <color theme="0"/>
        <rFont val="Aptos Narrow"/>
        <family val="2"/>
        <scheme val="minor"/>
      </rPr>
      <t xml:space="preserve">***Data Limitation
</t>
    </r>
    <r>
      <rPr>
        <sz val="14"/>
        <color theme="0"/>
        <rFont val="Aptos Narrow"/>
        <family val="2"/>
        <scheme val="minor"/>
      </rPr>
      <t>The analysis measures sales value, not profit, product-level costs, or customer demand independent of price and quantity.</t>
    </r>
  </si>
  <si>
    <r>
      <rPr>
        <b/>
        <sz val="16"/>
        <color theme="0"/>
        <rFont val="Aptos Narrow"/>
        <family val="2"/>
        <scheme val="minor"/>
      </rPr>
      <t>Business Findings</t>
    </r>
    <r>
      <rPr>
        <sz val="11"/>
        <color theme="0"/>
        <rFont val="Aptos Narrow"/>
        <family val="2"/>
        <scheme val="minor"/>
      </rPr>
      <t xml:space="preserve">
</t>
    </r>
    <r>
      <rPr>
        <sz val="14"/>
        <color theme="0"/>
        <rFont val="Aptos Narrow"/>
        <family val="2"/>
        <scheme val="minor"/>
      </rPr>
      <t>New customers contribute ₹79,360, representing 50.10% of total sales. Returning customers contribute ₹79,050, or 49.90%. The sales contribution is almost evenly split.
Feedback patterns differ between the two customer groups. Among new customers, 35.52% of feedback is Average, 24.83% Excellent, and 39.66% Good. Among returning customers, 9.69% is Average, 42.56% Excellent, and 47.75% Good.</t>
    </r>
  </si>
  <si>
    <r>
      <rPr>
        <b/>
        <sz val="16"/>
        <color theme="0"/>
        <rFont val="Aptos Narrow"/>
        <family val="2"/>
        <scheme val="minor"/>
      </rPr>
      <t>Business Insight</t>
    </r>
    <r>
      <rPr>
        <sz val="11"/>
        <color theme="0"/>
        <rFont val="Aptos Narrow"/>
        <family val="2"/>
        <scheme val="minor"/>
      </rPr>
      <t xml:space="preserve">
</t>
    </r>
    <r>
      <rPr>
        <sz val="14"/>
        <color theme="0"/>
        <rFont val="Aptos Narrow"/>
        <family val="2"/>
        <scheme val="minor"/>
      </rPr>
      <t>Returning customers have a more favourable feedback distribution, with a substantially lower share of Average feedback and higher shares of Good and Excellent feedback. This pattern is consistent with a more positive customer experience among returning customers, but it does not prove that satisfaction caused repeat purchasing.</t>
    </r>
  </si>
  <si>
    <r>
      <rPr>
        <b/>
        <sz val="14"/>
        <color theme="0"/>
        <rFont val="Aptos Narrow"/>
        <family val="2"/>
        <scheme val="minor"/>
      </rPr>
      <t>Recommended Action</t>
    </r>
    <r>
      <rPr>
        <sz val="14"/>
        <color theme="0"/>
        <rFont val="Aptos Narrow"/>
        <family val="2"/>
        <scheme val="minor"/>
      </rPr>
      <t xml:space="preserve">
Investigate what may be contributing to the difference in feedback. Review the customer experience and consider targeted follow-up or loyalty initiatives for new customers. Monitor whether these initiatives improve feedback and encourage repeat purchases.
</t>
    </r>
    <r>
      <rPr>
        <b/>
        <sz val="14"/>
        <color theme="0"/>
        <rFont val="Aptos Narrow"/>
        <family val="2"/>
        <scheme val="minor"/>
      </rPr>
      <t>***Data Limitation</t>
    </r>
    <r>
      <rPr>
        <sz val="14"/>
        <color theme="0"/>
        <rFont val="Aptos Narrow"/>
        <family val="2"/>
        <scheme val="minor"/>
      </rPr>
      <t xml:space="preserve">
The available data shows sales contribution by customer type, not the actual customer retention rate, number of unique customers, or reasons for their feedback.</t>
    </r>
  </si>
  <si>
    <r>
      <rPr>
        <b/>
        <sz val="14"/>
        <color theme="0"/>
        <rFont val="Aptos Narrow"/>
        <family val="2"/>
        <scheme val="minor"/>
      </rPr>
      <t>Business Findings</t>
    </r>
    <r>
      <rPr>
        <sz val="14"/>
        <color theme="0"/>
        <rFont val="Aptos Narrow"/>
        <family val="2"/>
        <scheme val="minor"/>
      </rPr>
      <t xml:space="preserve">
The dataset contains 211 records with discounts applied and 368 records without discounts.
Among discounted records, 22.75% receive Average feedback, 28.91% Excellent, and 48.34% Good. Among records without discounts, 22.55% receive Average feedback, 36.41% Excellent, and 41.03% Good.
</t>
    </r>
    <r>
      <rPr>
        <b/>
        <sz val="14"/>
        <color theme="0"/>
        <rFont val="Aptos Narrow"/>
        <family val="2"/>
        <scheme val="minor"/>
      </rPr>
      <t xml:space="preserve"> Business Insight</t>
    </r>
    <r>
      <rPr>
        <sz val="14"/>
        <color theme="0"/>
        <rFont val="Aptos Narrow"/>
        <family val="2"/>
        <scheme val="minor"/>
      </rPr>
      <t xml:space="preserve">
The share of Average feedback is almost identical across the two groups. Records without discounts have a higher share of Excellent feedback, while discounted records have a higher share of Good feedback. The available data therefore does not establish that discounts improve customer feedback or that discounts are unnecessary.
</t>
    </r>
    <r>
      <rPr>
        <b/>
        <sz val="14"/>
        <color theme="0"/>
        <rFont val="Aptos Narrow"/>
        <family val="2"/>
        <scheme val="minor"/>
      </rPr>
      <t>Recommended Action</t>
    </r>
    <r>
      <rPr>
        <sz val="14"/>
        <color theme="0"/>
        <rFont val="Aptos Narrow"/>
        <family val="2"/>
        <scheme val="minor"/>
      </rPr>
      <t xml:space="preserve">
Avoid expanding discounts solely on the assumption that they improve satisfaction. Compare discount costs, sales value, order volumes, and profit margins before changing the discount strategy. If possible, test targeted discounts against a comparable group without discounts.
</t>
    </r>
    <r>
      <rPr>
        <b/>
        <sz val="14"/>
        <color theme="0"/>
        <rFont val="Aptos Narrow"/>
        <family val="2"/>
        <scheme val="minor"/>
      </rPr>
      <t xml:space="preserve">***Data Limitation
</t>
    </r>
    <r>
      <rPr>
        <sz val="14"/>
        <color theme="0"/>
        <rFont val="Aptos Narrow"/>
        <family val="2"/>
        <scheme val="minor"/>
      </rPr>
      <t>The comparison is observational, and the groups may differ in other ways. The dataset does not establish the causal effect of discounts or show whether discounted sales generate higher profit.</t>
    </r>
  </si>
  <si>
    <r>
      <rPr>
        <b/>
        <sz val="16"/>
        <color theme="0"/>
        <rFont val="Aptos Narrow"/>
        <family val="2"/>
        <scheme val="minor"/>
      </rPr>
      <t>Business Insight</t>
    </r>
    <r>
      <rPr>
        <sz val="11"/>
        <color theme="0"/>
        <rFont val="Aptos Narrow"/>
        <family val="2"/>
        <scheme val="minor"/>
      </rPr>
      <t xml:space="preserve">
</t>
    </r>
    <r>
      <rPr>
        <sz val="14"/>
        <color theme="0"/>
        <rFont val="Aptos Narrow"/>
        <family val="2"/>
        <scheme val="minor"/>
      </rPr>
      <t>Noida Sector 18 is the leading sales location, while Vaishali and Greater Noida also generate substantial sales. Vaishali's combination of high sales and a relatively high share of Average feedback makes it a useful candidate for further investigation. Greater Noida also merits monitoring, although its Average feedback share is lower than Vaishali's.
These patterns identify opportunities for investigation; they do not prove that Average feedback is restricting sales growth.</t>
    </r>
  </si>
  <si>
    <r>
      <rPr>
        <b/>
        <sz val="16"/>
        <color theme="0"/>
        <rFont val="Aptos Narrow"/>
        <family val="2"/>
        <scheme val="minor"/>
      </rPr>
      <t>Business Findings</t>
    </r>
    <r>
      <rPr>
        <sz val="11"/>
        <color theme="0"/>
        <rFont val="Aptos Narrow"/>
        <family val="2"/>
        <scheme val="minor"/>
      </rPr>
      <t xml:space="preserve">
</t>
    </r>
    <r>
      <rPr>
        <sz val="14"/>
        <color theme="0"/>
        <rFont val="Aptos Narrow"/>
        <family val="2"/>
        <scheme val="minor"/>
      </rPr>
      <t>Noida Sector 18 generates the highest sales at ₹28,480, followed by Vaishali at ₹26,570 and Greater Noida at ₹23,950. Noida Sector 15 and Indirapuram follow closely, with ₹23,160 and ₹23,120 respectively.
Feedback patterns show that Average feedback accounts for 26.44% of records in both Vaishali and Indirapuram, and 25.58% in Noida Sector 15. Greater Noida has 22 Average feedback records out of 94 total records, approximately 23.40%.</t>
    </r>
  </si>
  <si>
    <r>
      <rPr>
        <b/>
        <sz val="16"/>
        <color theme="0"/>
        <rFont val="Aptos Narrow"/>
        <family val="2"/>
        <scheme val="minor"/>
      </rPr>
      <t>Recommended Action</t>
    </r>
    <r>
      <rPr>
        <sz val="11"/>
        <color theme="0"/>
        <rFont val="Aptos Narrow"/>
        <family val="2"/>
        <scheme val="minor"/>
      </rPr>
      <t xml:space="preserve">
</t>
    </r>
    <r>
      <rPr>
        <sz val="14"/>
        <color theme="0"/>
        <rFont val="Aptos Narrow"/>
        <family val="2"/>
        <scheme val="minor"/>
      </rPr>
      <t xml:space="preserve">Prioritise a review of customer feedback in Vaishali and other high-sales locations with notable Average feedback shares. Investigate possible causes before taking action, and compare location-level sales and feedback over time to evaluate whether improvements coincide with better outcomes, logistical and delivery time investigations.
</t>
    </r>
    <r>
      <rPr>
        <sz val="11"/>
        <color theme="0"/>
        <rFont val="Aptos Narrow"/>
        <family val="2"/>
        <scheme val="minor"/>
      </rPr>
      <t xml:space="preserve">
</t>
    </r>
    <r>
      <rPr>
        <b/>
        <sz val="16"/>
        <color theme="0"/>
        <rFont val="Aptos Narrow"/>
        <family val="2"/>
        <scheme val="minor"/>
      </rPr>
      <t>***Data Limitation</t>
    </r>
    <r>
      <rPr>
        <sz val="11"/>
        <color theme="0"/>
        <rFont val="Aptos Narrow"/>
        <family val="2"/>
        <scheme val="minor"/>
      </rPr>
      <t xml:space="preserve">
</t>
    </r>
    <r>
      <rPr>
        <sz val="14"/>
        <color theme="0"/>
        <rFont val="Aptos Narrow"/>
        <family val="2"/>
        <scheme val="minor"/>
      </rPr>
      <t>Feedback counts differ by location, and some locations have very small sample sizes. Interpret percentages alongside record counts. The data does not identify the specific causes of feedback or establish that satisfaction changes will increase sales.</t>
    </r>
  </si>
  <si>
    <t>*NOTE</t>
  </si>
  <si>
    <r>
      <rPr>
        <b/>
        <sz val="16"/>
        <color theme="0"/>
        <rFont val="Aptos Narrow"/>
        <family val="2"/>
        <scheme val="minor"/>
      </rPr>
      <t>Business Insight</t>
    </r>
    <r>
      <rPr>
        <sz val="11"/>
        <color theme="0"/>
        <rFont val="Aptos Narrow"/>
        <family val="2"/>
        <scheme val="minor"/>
      </rPr>
      <t xml:space="preserve">
</t>
    </r>
    <r>
      <rPr>
        <sz val="14"/>
        <color theme="0"/>
        <rFont val="Aptos Narrow"/>
        <family val="2"/>
        <scheme val="minor"/>
      </rPr>
      <t>Sales are concentrated among a wide group of products, along with top 7. These products may be important contributors to total sales and deserve closer monitoring. However, sales value alone does not establish profitability or customer preference.</t>
    </r>
  </si>
  <si>
    <r>
      <t xml:space="preserve"> </t>
    </r>
    <r>
      <rPr>
        <b/>
        <sz val="16"/>
        <color theme="0"/>
        <rFont val="Aptos Narrow"/>
        <family val="2"/>
        <scheme val="minor"/>
      </rPr>
      <t>Business Findings</t>
    </r>
    <r>
      <rPr>
        <sz val="16"/>
        <color theme="0"/>
        <rFont val="Aptos Narrow"/>
        <family val="2"/>
        <scheme val="minor"/>
      </rPr>
      <t xml:space="preserve">
Sales increased from ₹10,320 in April to ₹12,940 in May, a rise of approximately 25.4%. Sales then declined to ₹8,060 in June, approximately 37.7% below May(data only until 18th June, so decline proposed is not the whole picture).
</t>
    </r>
    <r>
      <rPr>
        <b/>
        <sz val="16"/>
        <color theme="0"/>
        <rFont val="Aptos Narrow"/>
        <family val="2"/>
        <scheme val="minor"/>
      </rPr>
      <t xml:space="preserve"> Business Insight</t>
    </r>
    <r>
      <rPr>
        <sz val="16"/>
        <color theme="0"/>
        <rFont val="Aptos Narrow"/>
        <family val="2"/>
        <scheme val="minor"/>
      </rPr>
      <t xml:space="preserve">
Sales fluctuated across the three months rather than increasing consistently. May was the strongest month in the period analysed, while June recorded the lowest sales(as trend excludes 14th April, so not quite accurate picture).
</t>
    </r>
    <r>
      <rPr>
        <b/>
        <sz val="16"/>
        <color theme="0"/>
        <rFont val="Aptos Narrow"/>
        <family val="2"/>
        <scheme val="minor"/>
      </rPr>
      <t xml:space="preserve"> Recommended Action</t>
    </r>
    <r>
      <rPr>
        <sz val="16"/>
        <color theme="0"/>
        <rFont val="Aptos Narrow"/>
        <family val="2"/>
        <scheme val="minor"/>
      </rPr>
      <t xml:space="preserve">
Investigate possible reasons for the May peak and June decline, such as changes in product mix, order volumes, discount activity, or location-level performance. Use additional periods of reliable data before treating this pattern as a sustained trend.
</t>
    </r>
    <r>
      <rPr>
        <b/>
        <sz val="16"/>
        <color theme="0"/>
        <rFont val="Aptos Narrow"/>
        <family val="2"/>
        <scheme val="minor"/>
      </rPr>
      <t xml:space="preserve">
***Data Limitation
</t>
    </r>
    <r>
      <rPr>
        <sz val="16"/>
        <color theme="0"/>
        <rFont val="Aptos Narrow"/>
        <family val="2"/>
        <scheme val="minor"/>
      </rPr>
      <t>The trend covers only three months and excludes the anomalous 14 April records. It should not be treated as a complete representation of overall sales performance. The excluded records should remain documented in the analysis notes rather than being silently deleted from the source dataset.</t>
    </r>
  </si>
  <si>
    <t>TOP 7 Items</t>
  </si>
  <si>
    <t>Percentage</t>
  </si>
  <si>
    <t>TOTAL RECORDED SALES</t>
  </si>
  <si>
    <t>TOP 7 - SALES SHARE</t>
  </si>
  <si>
    <t>NEW CUSTOMER - SALES</t>
  </si>
  <si>
    <t>RETURNING CUTOMER - SALES</t>
  </si>
  <si>
    <t>TOP 5 LOCATIONS BY SALES</t>
  </si>
  <si>
    <t/>
  </si>
  <si>
    <t>TOP LOCATIONS WITH HIGHEST AVERAGE FEEDBACKS</t>
  </si>
  <si>
    <t>&lt; Back to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</si>
</sst>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 #,##0;&quot;₹&quot;\ \-#,##0"/>
    <numFmt numFmtId="44" formatCode="_ &quot;₹&quot;\ * #,##0.00_ ;_ &quot;₹&quot;\ * \-#,##0.00_ ;_ &quot;₹&quot;\ * &quot;-&quot;??_ ;_ @_ "/>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0"/>
      <name val="Arial"/>
      <family val="2"/>
    </font>
    <font>
      <sz val="16"/>
      <color theme="1"/>
      <name val="Aptos Narrow"/>
      <family val="2"/>
      <scheme val="minor"/>
    </font>
    <font>
      <b/>
      <sz val="14"/>
      <color theme="0"/>
      <name val="Aptos Narrow"/>
      <family val="2"/>
      <scheme val="minor"/>
    </font>
    <font>
      <b/>
      <u/>
      <sz val="14"/>
      <color theme="0"/>
      <name val="Aptos Narrow"/>
      <family val="2"/>
      <scheme val="minor"/>
    </font>
    <font>
      <u/>
      <sz val="11"/>
      <color theme="0"/>
      <name val="Aptos Narrow"/>
      <family val="2"/>
      <scheme val="minor"/>
    </font>
    <font>
      <b/>
      <sz val="16"/>
      <color theme="0"/>
      <name val="Aptos Narrow"/>
      <family val="2"/>
      <scheme val="minor"/>
    </font>
    <font>
      <sz val="14"/>
      <color theme="0"/>
      <name val="Aptos Narrow"/>
      <family val="2"/>
      <scheme val="minor"/>
    </font>
    <font>
      <sz val="16"/>
      <color theme="0"/>
      <name val="Aptos Narrow"/>
      <family val="2"/>
      <scheme val="minor"/>
    </font>
    <font>
      <b/>
      <sz val="12"/>
      <color theme="1"/>
      <name val="Aptos Narrow"/>
      <family val="2"/>
      <scheme val="minor"/>
    </font>
    <font>
      <b/>
      <sz val="26"/>
      <color theme="1"/>
      <name val="Aptos Narrow"/>
      <family val="2"/>
      <scheme val="minor"/>
    </font>
    <font>
      <b/>
      <sz val="28"/>
      <color theme="1"/>
      <name val="Aptos Narrow"/>
      <family val="2"/>
      <scheme val="minor"/>
    </font>
    <font>
      <b/>
      <sz val="14"/>
      <color theme="1"/>
      <name val="Aptos Narrow"/>
      <family val="2"/>
      <scheme val="minor"/>
    </font>
    <font>
      <sz val="12"/>
      <color theme="1"/>
      <name val="Aptos Narrow"/>
      <family val="2"/>
      <scheme val="minor"/>
    </font>
    <font>
      <u/>
      <sz val="11"/>
      <color theme="10"/>
      <name val="Aptos Narrow"/>
      <family val="2"/>
      <scheme val="minor"/>
    </font>
    <font>
      <u/>
      <sz val="14"/>
      <color theme="0"/>
      <name val="Aptos Narrow"/>
      <family val="2"/>
      <scheme val="minor"/>
    </font>
  </fonts>
  <fills count="1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4" tint="-0.499984740745262"/>
      </left>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s>
  <cellStyleXfs count="5">
    <xf numFmtId="0" fontId="0" fillId="0" borderId="0"/>
    <xf numFmtId="0" fontId="4" fillId="0" borderId="0"/>
    <xf numFmtId="0" fontId="1" fillId="0" borderId="0"/>
    <xf numFmtId="9" fontId="1" fillId="0" borderId="0" applyFont="0" applyFill="0" applyBorder="0" applyAlignment="0" applyProtection="0"/>
    <xf numFmtId="0" fontId="17" fillId="0" borderId="0" applyNumberFormat="0" applyFill="0" applyBorder="0" applyAlignment="0" applyProtection="0"/>
  </cellStyleXfs>
  <cellXfs count="75">
    <xf numFmtId="0" fontId="0" fillId="0" borderId="0" xfId="0"/>
    <xf numFmtId="14" fontId="0" fillId="0" borderId="0" xfId="0" applyNumberFormat="1"/>
    <xf numFmtId="0" fontId="2" fillId="0" borderId="0" xfId="0" applyFont="1"/>
    <xf numFmtId="0" fontId="3" fillId="2" borderId="1" xfId="0" applyFont="1" applyFill="1" applyBorder="1"/>
    <xf numFmtId="0" fontId="7" fillId="2" borderId="2" xfId="0" applyFont="1" applyFill="1" applyBorder="1"/>
    <xf numFmtId="0" fontId="8" fillId="2" borderId="2" xfId="0" applyFont="1" applyFill="1" applyBorder="1"/>
    <xf numFmtId="0" fontId="3" fillId="2" borderId="3" xfId="0" applyFont="1" applyFill="1" applyBorder="1"/>
    <xf numFmtId="0" fontId="3" fillId="2" borderId="4" xfId="0" applyFont="1" applyFill="1" applyBorder="1"/>
    <xf numFmtId="0" fontId="3" fillId="2" borderId="0" xfId="0" applyFont="1" applyFill="1"/>
    <xf numFmtId="0" fontId="3" fillId="2" borderId="5" xfId="0" applyFont="1" applyFill="1" applyBorder="1"/>
    <xf numFmtId="0" fontId="3" fillId="2" borderId="6" xfId="0" applyFont="1" applyFill="1" applyBorder="1"/>
    <xf numFmtId="0" fontId="9" fillId="2" borderId="7" xfId="0" applyFont="1" applyFill="1" applyBorder="1"/>
    <xf numFmtId="0" fontId="3" fillId="2" borderId="7" xfId="0" applyFont="1" applyFill="1" applyBorder="1"/>
    <xf numFmtId="0" fontId="3" fillId="2" borderId="8" xfId="0" applyFont="1" applyFill="1" applyBorder="1"/>
    <xf numFmtId="0" fontId="3" fillId="3" borderId="0" xfId="0" applyFont="1" applyFill="1"/>
    <xf numFmtId="0" fontId="7" fillId="3" borderId="0" xfId="0" applyFont="1" applyFill="1"/>
    <xf numFmtId="0" fontId="8" fillId="3" borderId="0" xfId="0" applyFont="1" applyFill="1"/>
    <xf numFmtId="0" fontId="9" fillId="3" borderId="0" xfId="0" applyFont="1" applyFill="1"/>
    <xf numFmtId="0" fontId="0" fillId="0" borderId="0" xfId="0" pivotButton="1"/>
    <xf numFmtId="0" fontId="0" fillId="0" borderId="0" xfId="0" applyAlignment="1">
      <alignment horizontal="left"/>
    </xf>
    <xf numFmtId="10" fontId="0" fillId="0" borderId="0" xfId="0" applyNumberFormat="1"/>
    <xf numFmtId="0" fontId="0" fillId="5" borderId="0" xfId="0" applyFill="1" applyAlignment="1">
      <alignment horizontal="left"/>
    </xf>
    <xf numFmtId="0" fontId="0" fillId="0" borderId="0" xfId="0" applyAlignment="1">
      <alignment horizontal="center"/>
    </xf>
    <xf numFmtId="0" fontId="0" fillId="0" borderId="0" xfId="0" applyAlignment="1">
      <alignment wrapText="1"/>
    </xf>
    <xf numFmtId="44" fontId="0" fillId="5" borderId="0" xfId="0" applyNumberFormat="1" applyFill="1"/>
    <xf numFmtId="44"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10" fontId="0" fillId="4" borderId="0" xfId="0" applyNumberFormat="1" applyFill="1"/>
    <xf numFmtId="44" fontId="5" fillId="0" borderId="0" xfId="0" applyNumberFormat="1" applyFont="1"/>
    <xf numFmtId="0" fontId="0" fillId="3" borderId="0" xfId="0" applyFill="1" applyAlignment="1">
      <alignment horizontal="left"/>
    </xf>
    <xf numFmtId="44" fontId="0" fillId="3" borderId="0" xfId="0" applyNumberFormat="1" applyFill="1"/>
    <xf numFmtId="10" fontId="0" fillId="5" borderId="0" xfId="0" applyNumberFormat="1" applyFill="1"/>
    <xf numFmtId="0" fontId="2" fillId="7" borderId="0" xfId="0" applyFont="1" applyFill="1"/>
    <xf numFmtId="10" fontId="2" fillId="7" borderId="0" xfId="0" applyNumberFormat="1" applyFont="1" applyFill="1"/>
    <xf numFmtId="10" fontId="0" fillId="0" borderId="0" xfId="3" applyNumberFormat="1" applyFont="1" applyAlignment="1"/>
    <xf numFmtId="10" fontId="14" fillId="7" borderId="10" xfId="0" applyNumberFormat="1" applyFont="1" applyFill="1" applyBorder="1" applyAlignment="1">
      <alignment horizontal="center"/>
    </xf>
    <xf numFmtId="0" fontId="14" fillId="7" borderId="11" xfId="0" applyFont="1" applyFill="1" applyBorder="1" applyAlignment="1">
      <alignment horizontal="center"/>
    </xf>
    <xf numFmtId="0" fontId="14" fillId="7" borderId="12" xfId="0" applyFont="1" applyFill="1" applyBorder="1" applyAlignment="1">
      <alignment horizontal="center"/>
    </xf>
    <xf numFmtId="0" fontId="14" fillId="7" borderId="9" xfId="0" applyFont="1" applyFill="1" applyBorder="1" applyAlignment="1">
      <alignment horizontal="center"/>
    </xf>
    <xf numFmtId="0" fontId="14" fillId="7" borderId="0" xfId="0" applyFont="1" applyFill="1" applyAlignment="1">
      <alignment horizontal="center"/>
    </xf>
    <xf numFmtId="0" fontId="14" fillId="7" borderId="13" xfId="0" applyFont="1" applyFill="1" applyBorder="1" applyAlignment="1">
      <alignment horizontal="center"/>
    </xf>
    <xf numFmtId="0" fontId="15" fillId="8" borderId="14" xfId="0" applyFont="1" applyFill="1" applyBorder="1" applyAlignment="1">
      <alignment horizontal="center"/>
    </xf>
    <xf numFmtId="0" fontId="0" fillId="8" borderId="15" xfId="0" applyFill="1" applyBorder="1" applyAlignment="1">
      <alignment horizontal="center"/>
    </xf>
    <xf numFmtId="0" fontId="0" fillId="8" borderId="16" xfId="0" applyFill="1" applyBorder="1" applyAlignment="1">
      <alignment horizontal="center"/>
    </xf>
    <xf numFmtId="5" fontId="14" fillId="7" borderId="10" xfId="0" applyNumberFormat="1" applyFont="1" applyFill="1" applyBorder="1" applyAlignment="1">
      <alignment horizontal="center" vertical="center"/>
    </xf>
    <xf numFmtId="5" fontId="14" fillId="7" borderId="11" xfId="0" applyNumberFormat="1" applyFont="1" applyFill="1" applyBorder="1" applyAlignment="1">
      <alignment horizontal="center" vertical="center"/>
    </xf>
    <xf numFmtId="5" fontId="14" fillId="7" borderId="12" xfId="0" applyNumberFormat="1" applyFont="1" applyFill="1" applyBorder="1" applyAlignment="1">
      <alignment horizontal="center" vertical="center"/>
    </xf>
    <xf numFmtId="5" fontId="14" fillId="7" borderId="9" xfId="0" applyNumberFormat="1" applyFont="1" applyFill="1" applyBorder="1" applyAlignment="1">
      <alignment horizontal="center" vertical="center"/>
    </xf>
    <xf numFmtId="5" fontId="14" fillId="7" borderId="0" xfId="0" applyNumberFormat="1" applyFont="1" applyFill="1" applyAlignment="1">
      <alignment horizontal="center" vertical="center"/>
    </xf>
    <xf numFmtId="5" fontId="14" fillId="7" borderId="13" xfId="0" applyNumberFormat="1" applyFont="1" applyFill="1" applyBorder="1" applyAlignment="1">
      <alignment horizontal="center" vertical="center"/>
    </xf>
    <xf numFmtId="10" fontId="14" fillId="7" borderId="10" xfId="0" applyNumberFormat="1" applyFont="1" applyFill="1" applyBorder="1" applyAlignment="1">
      <alignment horizontal="center" vertical="center"/>
    </xf>
    <xf numFmtId="0" fontId="14" fillId="7" borderId="11" xfId="0" applyFont="1" applyFill="1" applyBorder="1" applyAlignment="1">
      <alignment horizontal="center" vertical="center"/>
    </xf>
    <xf numFmtId="0" fontId="14" fillId="7" borderId="12" xfId="0" applyFont="1" applyFill="1" applyBorder="1" applyAlignment="1">
      <alignment horizontal="center" vertical="center"/>
    </xf>
    <xf numFmtId="0" fontId="14" fillId="7" borderId="9" xfId="0" applyFont="1" applyFill="1" applyBorder="1" applyAlignment="1">
      <alignment horizontal="center" vertical="center"/>
    </xf>
    <xf numFmtId="0" fontId="14" fillId="7" borderId="0" xfId="0" applyFont="1" applyFill="1" applyAlignment="1">
      <alignment horizontal="center" vertical="center"/>
    </xf>
    <xf numFmtId="0" fontId="14" fillId="7" borderId="13" xfId="0" applyFont="1" applyFill="1" applyBorder="1" applyAlignment="1">
      <alignment horizontal="center" vertical="center"/>
    </xf>
    <xf numFmtId="0" fontId="12" fillId="8" borderId="14" xfId="0" applyFont="1" applyFill="1" applyBorder="1" applyAlignment="1">
      <alignment horizontal="center"/>
    </xf>
    <xf numFmtId="0" fontId="12" fillId="8" borderId="15" xfId="0" applyFont="1" applyFill="1" applyBorder="1" applyAlignment="1">
      <alignment horizontal="center"/>
    </xf>
    <xf numFmtId="0" fontId="12" fillId="8" borderId="16" xfId="0" applyFont="1" applyFill="1" applyBorder="1" applyAlignment="1">
      <alignment horizontal="center"/>
    </xf>
    <xf numFmtId="0" fontId="2" fillId="8" borderId="14" xfId="0" applyFont="1" applyFill="1" applyBorder="1" applyAlignment="1">
      <alignment horizontal="center"/>
    </xf>
    <xf numFmtId="0" fontId="2" fillId="8" borderId="15" xfId="0" applyFont="1" applyFill="1" applyBorder="1" applyAlignment="1">
      <alignment horizontal="center"/>
    </xf>
    <xf numFmtId="0" fontId="2" fillId="8" borderId="16" xfId="0" applyFont="1" applyFill="1" applyBorder="1" applyAlignment="1">
      <alignment horizontal="center"/>
    </xf>
    <xf numFmtId="0" fontId="3" fillId="6" borderId="0" xfId="0" applyFont="1" applyFill="1" applyAlignment="1">
      <alignment horizontal="center" wrapText="1"/>
    </xf>
    <xf numFmtId="0" fontId="13" fillId="5" borderId="0" xfId="0" applyFont="1" applyFill="1" applyAlignment="1">
      <alignment horizontal="center" wrapText="1"/>
    </xf>
    <xf numFmtId="0" fontId="10" fillId="6" borderId="0" xfId="0" applyFont="1" applyFill="1" applyAlignment="1">
      <alignment horizontal="center" wrapText="1"/>
    </xf>
    <xf numFmtId="0" fontId="12" fillId="5" borderId="0" xfId="0" applyFont="1" applyFill="1" applyAlignment="1">
      <alignment horizontal="center"/>
    </xf>
    <xf numFmtId="0" fontId="0" fillId="5" borderId="0" xfId="0" applyFill="1" applyAlignment="1">
      <alignment horizontal="center"/>
    </xf>
    <xf numFmtId="0" fontId="12" fillId="5" borderId="0" xfId="0" applyFont="1" applyFill="1" applyAlignment="1">
      <alignment horizontal="center" wrapText="1"/>
    </xf>
    <xf numFmtId="0" fontId="16" fillId="5" borderId="0" xfId="0" applyFont="1" applyFill="1" applyAlignment="1">
      <alignment horizontal="center" wrapText="1"/>
    </xf>
    <xf numFmtId="0" fontId="11" fillId="6" borderId="0" xfId="0" applyFont="1" applyFill="1" applyAlignment="1">
      <alignment horizontal="center" wrapText="1"/>
    </xf>
    <xf numFmtId="0" fontId="18" fillId="9" borderId="0" xfId="4" applyFont="1" applyFill="1" applyAlignment="1">
      <alignment horizontal="center"/>
    </xf>
    <xf numFmtId="0" fontId="0" fillId="0" borderId="0" xfId="0" applyNumberFormat="1"/>
    <xf numFmtId="0" fontId="0" fillId="4" borderId="0" xfId="0" applyNumberFormat="1" applyFill="1"/>
  </cellXfs>
  <cellStyles count="5">
    <cellStyle name="Hyperlink" xfId="4" builtinId="8"/>
    <cellStyle name="Normal" xfId="0" builtinId="0"/>
    <cellStyle name="Normal 2" xfId="2" xr:uid="{4285996E-0364-463A-B77D-4B24B4221D25}"/>
    <cellStyle name="Normal 3" xfId="1" xr:uid="{289E6797-1ADF-45CB-B9C8-E368FC02C52B}"/>
    <cellStyle name="Percent" xfId="3" builtinId="5"/>
  </cellStyles>
  <dxfs count="520">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numFmt numFmtId="34" formatCode="_ &quot;₹&quot;\ * #,##0.00_ ;_ &quot;₹&quot;\ * \-#,##0.00_ ;_ &quot;₹&quot;\ * &quot;-&quot;??_ ;_ @_ "/>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rgb="FF92D050"/>
        </patternFill>
      </fill>
    </dxf>
    <dxf>
      <fill>
        <patternFill patternType="solid">
          <bgColor rgb="FF92D050"/>
        </patternFill>
      </fill>
    </dxf>
    <dxf>
      <numFmt numFmtId="34" formatCode="_ &quot;₹&quot;\ * #,##0.00_ ;_ &quot;₹&quot;\ * \-#,##0.00_ ;_ &quot;₹&quot;\ * &quot;-&quot;??_ ;_ @_ "/>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bgColor theme="6" tint="0.79998168889431442"/>
        </patternFill>
      </fill>
    </dxf>
    <dxf>
      <fill>
        <patternFill>
          <bgColor theme="6" tint="0.79998168889431442"/>
        </patternFill>
      </fill>
    </dxf>
    <dxf>
      <numFmt numFmtId="34" formatCode="_ &quot;₹&quot;\ * #,##0.00_ ;_ &quot;₹&quot;\ * \-#,##0.00_ ;_ &quot;₹&quot;\ * &quot;-&quot;??_ ;_ @_ "/>
    </dxf>
    <dxf>
      <numFmt numFmtId="14" formatCode="0.00%"/>
    </dxf>
    <dxf>
      <fill>
        <patternFill patternType="solid">
          <bgColor theme="5" tint="0.39997558519241921"/>
        </patternFill>
      </fill>
    </dxf>
    <dxf>
      <numFmt numFmtId="14" formatCode="0.00%"/>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34" formatCode="_ &quot;₹&quot;\ * #,##0.00_ ;_ &quot;₹&quot;\ * \-#,##0.00_ ;_ &quot;₹&quot;\ * &quot;-&quot;??_ ;_ @_ "/>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34" formatCode="_ &quot;₹&quot;\ * #,##0.00_ ;_ &quot;₹&quot;\ * \-#,##0.00_ ;_ &quot;₹&quot;\ * &quot;-&quot;??_ ;_ @_ "/>
    </dxf>
    <dxf>
      <font>
        <sz val="16"/>
      </font>
    </dxf>
    <dxf>
      <font>
        <sz val="16"/>
      </font>
    </dxf>
    <dxf>
      <font>
        <sz val="16"/>
      </font>
    </dxf>
    <dxf>
      <font>
        <sz val="16"/>
      </font>
    </dxf>
    <dxf>
      <font>
        <sz val="16"/>
      </font>
    </dxf>
    <dxf>
      <font>
        <sz val="16"/>
      </font>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fill>
        <patternFill patternType="solid">
          <bgColor theme="5" tint="0.39997558519241921"/>
        </patternFill>
      </fill>
    </dxf>
    <dxf>
      <numFmt numFmtId="14" formatCode="0.00%"/>
    </dxf>
    <dxf>
      <fill>
        <patternFill patternType="solid">
          <bgColor theme="5" tint="0.39997558519241921"/>
        </patternFill>
      </fill>
    </dxf>
    <dxf>
      <numFmt numFmtId="34" formatCode="_ &quot;₹&quot;\ * #,##0.00_ ;_ &quot;₹&quot;\ * \-#,##0.00_ ;_ &quot;₹&quot;\ * &quot;-&quot;??_ ;_ @_ "/>
    </dxf>
    <dxf>
      <numFmt numFmtId="14" formatCode="0.00%"/>
    </dxf>
    <dxf>
      <numFmt numFmtId="34" formatCode="_ &quot;₹&quot;\ * #,##0.00_ ;_ &quot;₹&quot;\ * \-#,##0.00_ ;_ &quot;₹&quot;\ * &quot;-&quot;??_ ;_ @_ "/>
    </dxf>
    <dxf>
      <fill>
        <patternFill>
          <bgColor theme="6" tint="0.79998168889431442"/>
        </patternFill>
      </fill>
    </dxf>
    <dxf>
      <fill>
        <patternFill>
          <bgColor theme="6" tint="0.79998168889431442"/>
        </patternFill>
      </fill>
    </dxf>
    <dxf>
      <fill>
        <patternFill patternType="solid">
          <bgColor rgb="FF92D050"/>
        </patternFill>
      </fill>
    </dxf>
    <dxf>
      <fill>
        <patternFill patternType="solid">
          <bgColor rgb="FF92D050"/>
        </patternFill>
      </fill>
    </dxf>
    <dxf>
      <fill>
        <patternFill>
          <bgColor theme="0"/>
        </patternFill>
      </fill>
    </dxf>
    <dxf>
      <fill>
        <patternFill>
          <bgColor theme="0"/>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- 4.xlsx]Product_Performance!PivotTable2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 by Sales Value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Product_Performance!$J$30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Product_Performance!$I$31:$I$38</c:f>
              <c:strCache>
                <c:ptCount val="7"/>
                <c:pt idx="0">
                  <c:v>Chicken Biryani</c:v>
                </c:pt>
                <c:pt idx="1">
                  <c:v>Butter Chicken</c:v>
                </c:pt>
                <c:pt idx="2">
                  <c:v>Mutton Rogan Josh</c:v>
                </c:pt>
                <c:pt idx="3">
                  <c:v>Mixed Veg Curry</c:v>
                </c:pt>
                <c:pt idx="4">
                  <c:v>Veg Pulao</c:v>
                </c:pt>
                <c:pt idx="5">
                  <c:v>Mutton Korma</c:v>
                </c:pt>
                <c:pt idx="6">
                  <c:v>Veg Biryani</c:v>
                </c:pt>
              </c:strCache>
            </c:strRef>
          </c:cat>
          <c:val>
            <c:numRef>
              <c:f>Product_Performance!$J$31:$J$38</c:f>
              <c:numCache>
                <c:formatCode>_("₹"* #,##0.00_);_("₹"* \(#,##0.00\);_("₹"* "-"??_);_(@_)</c:formatCode>
                <c:ptCount val="7"/>
                <c:pt idx="0">
                  <c:v>16000</c:v>
                </c:pt>
                <c:pt idx="1">
                  <c:v>10000</c:v>
                </c:pt>
                <c:pt idx="2">
                  <c:v>8550</c:v>
                </c:pt>
                <c:pt idx="3">
                  <c:v>8550</c:v>
                </c:pt>
                <c:pt idx="4">
                  <c:v>7980</c:v>
                </c:pt>
                <c:pt idx="5">
                  <c:v>7980</c:v>
                </c:pt>
                <c:pt idx="6">
                  <c:v>7600</c:v>
                </c:pt>
              </c:numCache>
            </c:numRef>
          </c:val>
          <c:extLst>
            <c:ext xmlns:c16="http://schemas.microsoft.com/office/drawing/2014/chart" uri="{C3380CC4-5D6E-409C-BE32-E72D297353CC}">
              <c16:uniqueId val="{00000000-A00F-4653-98BA-36EE7D62F063}"/>
            </c:ext>
          </c:extLst>
        </c:ser>
        <c:dLbls>
          <c:dLblPos val="outEnd"/>
          <c:showLegendKey val="0"/>
          <c:showVal val="1"/>
          <c:showCatName val="0"/>
          <c:showSerName val="0"/>
          <c:showPercent val="0"/>
          <c:showBubbleSize val="0"/>
        </c:dLbls>
        <c:gapWidth val="111"/>
        <c:overlap val="-20"/>
        <c:axId val="917295423"/>
        <c:axId val="523121391"/>
      </c:barChart>
      <c:catAx>
        <c:axId val="917295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121391"/>
        <c:crosses val="autoZero"/>
        <c:auto val="1"/>
        <c:lblAlgn val="ctr"/>
        <c:lblOffset val="100"/>
        <c:noMultiLvlLbl val="0"/>
      </c:catAx>
      <c:valAx>
        <c:axId val="523121391"/>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108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29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rot="120000"/>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- 4.xlsx]Customer_Analysis!PivotTable2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Customer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a:sp3d/>
        </c:spPr>
        <c:dLbl>
          <c:idx val="0"/>
          <c:layout>
            <c:manualLayout>
              <c:x val="0.19197222222222221"/>
              <c:y val="-5.59620151647710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tx2">
              <a:lumMod val="75000"/>
              <a:lumOff val="25000"/>
            </a:schemeClr>
          </a:solidFill>
          <a:ln>
            <a:noFill/>
          </a:ln>
          <a:effectLst>
            <a:outerShdw blurRad="57150" dist="19050" dir="5400000" algn="ctr" rotWithShape="0">
              <a:srgbClr val="000000">
                <a:alpha val="63000"/>
              </a:srgbClr>
            </a:outerShdw>
          </a:effectLst>
          <a:sp3d/>
        </c:spPr>
        <c:dLbl>
          <c:idx val="0"/>
          <c:layout>
            <c:manualLayout>
              <c:x val="-0.24262751531058618"/>
              <c:y val="-7.10083114610673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tx2">
              <a:lumMod val="75000"/>
              <a:lumOff val="25000"/>
            </a:schemeClr>
          </a:solidFill>
          <a:ln>
            <a:noFill/>
          </a:ln>
          <a:effectLst>
            <a:outerShdw blurRad="57150" dist="19050" dir="5400000" algn="ctr" rotWithShape="0">
              <a:srgbClr val="000000">
                <a:alpha val="63000"/>
              </a:srgbClr>
            </a:outerShdw>
          </a:effectLst>
          <a:sp3d/>
        </c:spPr>
        <c:dLbl>
          <c:idx val="0"/>
          <c:layout>
            <c:manualLayout>
              <c:x val="-0.24262751531058618"/>
              <c:y val="-7.10083114610673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a:sp3d/>
        </c:spPr>
        <c:dLbl>
          <c:idx val="0"/>
          <c:layout>
            <c:manualLayout>
              <c:x val="0.19197222222222221"/>
              <c:y val="-5.59620151647710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tx2">
              <a:lumMod val="75000"/>
              <a:lumOff val="25000"/>
            </a:schemeClr>
          </a:solidFill>
          <a:ln>
            <a:noFill/>
          </a:ln>
          <a:effectLst>
            <a:outerShdw blurRad="57150" dist="19050" dir="5400000" algn="ctr" rotWithShape="0">
              <a:srgbClr val="000000">
                <a:alpha val="63000"/>
              </a:srgbClr>
            </a:outerShdw>
          </a:effectLst>
          <a:sp3d/>
        </c:spPr>
        <c:dLbl>
          <c:idx val="0"/>
          <c:layout>
            <c:manualLayout>
              <c:x val="-0.24262751531058618"/>
              <c:y val="-7.10083114610673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lumMod val="40000"/>
              <a:lumOff val="60000"/>
            </a:schemeClr>
          </a:solidFill>
          <a:ln>
            <a:noFill/>
          </a:ln>
          <a:effectLst>
            <a:outerShdw blurRad="57150" dist="19050" dir="5400000" algn="ctr" rotWithShape="0">
              <a:srgbClr val="000000">
                <a:alpha val="63000"/>
              </a:srgbClr>
            </a:outerShdw>
          </a:effectLst>
          <a:sp3d/>
        </c:spPr>
        <c:dLbl>
          <c:idx val="0"/>
          <c:layout>
            <c:manualLayout>
              <c:x val="0.19197222222222221"/>
              <c:y val="-5.59620151647710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Customer_Analysis!$B$3</c:f>
              <c:strCache>
                <c:ptCount val="1"/>
                <c:pt idx="0">
                  <c:v>Total_Sales</c:v>
                </c:pt>
              </c:strCache>
            </c:strRef>
          </c:tx>
          <c:dPt>
            <c:idx val="0"/>
            <c:bubble3D val="0"/>
            <c:spPr>
              <a:solidFill>
                <a:schemeClr val="tx2">
                  <a:lumMod val="75000"/>
                  <a:lumOff val="2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17D-460D-BCB7-F5592F0A40C8}"/>
              </c:ext>
            </c:extLst>
          </c:dPt>
          <c:dPt>
            <c:idx val="1"/>
            <c:bubble3D val="0"/>
            <c:spPr>
              <a:solidFill>
                <a:schemeClr val="accent1">
                  <a:lumMod val="40000"/>
                  <a:lumOff val="6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17D-460D-BCB7-F5592F0A40C8}"/>
              </c:ext>
            </c:extLst>
          </c:dPt>
          <c:dLbls>
            <c:dLbl>
              <c:idx val="0"/>
              <c:layout>
                <c:manualLayout>
                  <c:x val="-0.24262751531058618"/>
                  <c:y val="-7.1008311461067369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17D-460D-BCB7-F5592F0A40C8}"/>
                </c:ext>
              </c:extLst>
            </c:dLbl>
            <c:dLbl>
              <c:idx val="1"/>
              <c:layout>
                <c:manualLayout>
                  <c:x val="0.19197222222222221"/>
                  <c:y val="-5.5962015164771069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17D-460D-BCB7-F5592F0A40C8}"/>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Customer_Analysis!$A$4:$A$6</c:f>
              <c:strCache>
                <c:ptCount val="2"/>
                <c:pt idx="0">
                  <c:v>New</c:v>
                </c:pt>
                <c:pt idx="1">
                  <c:v>Returning</c:v>
                </c:pt>
              </c:strCache>
            </c:strRef>
          </c:cat>
          <c:val>
            <c:numRef>
              <c:f>Customer_Analysis!$B$4:$B$6</c:f>
              <c:numCache>
                <c:formatCode>_("₹"* #,##0.00_);_("₹"* \(#,##0.00\);_("₹"* "-"??_);_(@_)</c:formatCode>
                <c:ptCount val="2"/>
                <c:pt idx="0">
                  <c:v>79360</c:v>
                </c:pt>
                <c:pt idx="1">
                  <c:v>79050</c:v>
                </c:pt>
              </c:numCache>
            </c:numRef>
          </c:val>
          <c:extLst>
            <c:ext xmlns:c16="http://schemas.microsoft.com/office/drawing/2014/chart" uri="{C3380CC4-5D6E-409C-BE32-E72D297353CC}">
              <c16:uniqueId val="{00000004-D17D-460D-BCB7-F5592F0A40C8}"/>
            </c:ext>
          </c:extLst>
        </c:ser>
        <c:ser>
          <c:idx val="1"/>
          <c:order val="1"/>
          <c:tx>
            <c:strRef>
              <c:f>Customer_Analysis!$C$3</c:f>
              <c:strCache>
                <c:ptCount val="1"/>
                <c:pt idx="0">
                  <c:v>Share in Sales</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D17D-460D-BCB7-F5592F0A40C8}"/>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D17D-460D-BCB7-F5592F0A40C8}"/>
              </c:ext>
            </c:extLst>
          </c:dPt>
          <c:cat>
            <c:strRef>
              <c:f>Customer_Analysis!$A$4:$A$6</c:f>
              <c:strCache>
                <c:ptCount val="2"/>
                <c:pt idx="0">
                  <c:v>New</c:v>
                </c:pt>
                <c:pt idx="1">
                  <c:v>Returning</c:v>
                </c:pt>
              </c:strCache>
            </c:strRef>
          </c:cat>
          <c:val>
            <c:numRef>
              <c:f>Customer_Analysis!$C$4:$C$6</c:f>
              <c:numCache>
                <c:formatCode>0.00%</c:formatCode>
                <c:ptCount val="2"/>
                <c:pt idx="0">
                  <c:v>0.50097847358121328</c:v>
                </c:pt>
                <c:pt idx="1">
                  <c:v>0.49902152641878667</c:v>
                </c:pt>
              </c:numCache>
            </c:numRef>
          </c:val>
          <c:extLst>
            <c:ext xmlns:c16="http://schemas.microsoft.com/office/drawing/2014/chart" uri="{C3380CC4-5D6E-409C-BE32-E72D297353CC}">
              <c16:uniqueId val="{00000009-D17D-460D-BCB7-F5592F0A40C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- 4.xlsx]Discount_Analysis!PivotTable4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Feedbacks - Discount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75000"/>
              <a:lumOff val="2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Discount_Analysis!$B$3:$B$4</c:f>
              <c:strCache>
                <c:ptCount val="1"/>
                <c:pt idx="0">
                  <c:v>Discount Applied</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Discount_Analysis!$A$5:$A$8</c:f>
              <c:strCache>
                <c:ptCount val="3"/>
                <c:pt idx="0">
                  <c:v>Average</c:v>
                </c:pt>
                <c:pt idx="1">
                  <c:v>Excellent</c:v>
                </c:pt>
                <c:pt idx="2">
                  <c:v>Good</c:v>
                </c:pt>
              </c:strCache>
            </c:strRef>
          </c:cat>
          <c:val>
            <c:numRef>
              <c:f>Discount_Analysis!$B$5:$B$8</c:f>
              <c:numCache>
                <c:formatCode>General</c:formatCode>
                <c:ptCount val="3"/>
                <c:pt idx="0">
                  <c:v>48</c:v>
                </c:pt>
                <c:pt idx="1">
                  <c:v>61</c:v>
                </c:pt>
                <c:pt idx="2">
                  <c:v>102</c:v>
                </c:pt>
              </c:numCache>
            </c:numRef>
          </c:val>
          <c:extLst>
            <c:ext xmlns:c16="http://schemas.microsoft.com/office/drawing/2014/chart" uri="{C3380CC4-5D6E-409C-BE32-E72D297353CC}">
              <c16:uniqueId val="{00000000-6138-4915-8673-DE7B546C2DCA}"/>
            </c:ext>
          </c:extLst>
        </c:ser>
        <c:ser>
          <c:idx val="1"/>
          <c:order val="1"/>
          <c:tx>
            <c:strRef>
              <c:f>Discount_Analysis!$C$3:$C$4</c:f>
              <c:strCache>
                <c:ptCount val="1"/>
                <c:pt idx="0">
                  <c:v>No Discount</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Discount_Analysis!$A$5:$A$8</c:f>
              <c:strCache>
                <c:ptCount val="3"/>
                <c:pt idx="0">
                  <c:v>Average</c:v>
                </c:pt>
                <c:pt idx="1">
                  <c:v>Excellent</c:v>
                </c:pt>
                <c:pt idx="2">
                  <c:v>Good</c:v>
                </c:pt>
              </c:strCache>
            </c:strRef>
          </c:cat>
          <c:val>
            <c:numRef>
              <c:f>Discount_Analysis!$C$5:$C$8</c:f>
              <c:numCache>
                <c:formatCode>General</c:formatCode>
                <c:ptCount val="3"/>
                <c:pt idx="0">
                  <c:v>83</c:v>
                </c:pt>
                <c:pt idx="1">
                  <c:v>134</c:v>
                </c:pt>
                <c:pt idx="2">
                  <c:v>151</c:v>
                </c:pt>
              </c:numCache>
            </c:numRef>
          </c:val>
          <c:extLst>
            <c:ext xmlns:c16="http://schemas.microsoft.com/office/drawing/2014/chart" uri="{C3380CC4-5D6E-409C-BE32-E72D297353CC}">
              <c16:uniqueId val="{00000003-6138-4915-8673-DE7B546C2DCA}"/>
            </c:ext>
          </c:extLst>
        </c:ser>
        <c:dLbls>
          <c:dLblPos val="outEnd"/>
          <c:showLegendKey val="0"/>
          <c:showVal val="1"/>
          <c:showCatName val="0"/>
          <c:showSerName val="0"/>
          <c:showPercent val="0"/>
          <c:showBubbleSize val="0"/>
        </c:dLbls>
        <c:gapWidth val="100"/>
        <c:overlap val="-24"/>
        <c:axId val="2101769087"/>
        <c:axId val="523160751"/>
      </c:barChart>
      <c:catAx>
        <c:axId val="2101769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23160751"/>
        <c:crosses val="autoZero"/>
        <c:auto val="1"/>
        <c:lblAlgn val="ctr"/>
        <c:lblOffset val="100"/>
        <c:noMultiLvlLbl val="0"/>
      </c:catAx>
      <c:valAx>
        <c:axId val="523160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1769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- 4.xlsx]Sales_Trend!PivotTable8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Sales_Trend!$B$3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Sales_Trend!$A$4:$A$7</c:f>
              <c:strCache>
                <c:ptCount val="3"/>
                <c:pt idx="0">
                  <c:v>Apr</c:v>
                </c:pt>
                <c:pt idx="1">
                  <c:v>May</c:v>
                </c:pt>
                <c:pt idx="2">
                  <c:v>Jun</c:v>
                </c:pt>
              </c:strCache>
            </c:strRef>
          </c:cat>
          <c:val>
            <c:numRef>
              <c:f>Sales_Trend!$B$4:$B$7</c:f>
              <c:numCache>
                <c:formatCode>_("₹"* #,##0.00_);_("₹"* \(#,##0.00\);_("₹"* "-"??_);_(@_)</c:formatCode>
                <c:ptCount val="3"/>
                <c:pt idx="0">
                  <c:v>10320</c:v>
                </c:pt>
                <c:pt idx="1">
                  <c:v>12940</c:v>
                </c:pt>
                <c:pt idx="2">
                  <c:v>8060</c:v>
                </c:pt>
              </c:numCache>
            </c:numRef>
          </c:val>
          <c:smooth val="0"/>
          <c:extLst>
            <c:ext xmlns:c16="http://schemas.microsoft.com/office/drawing/2014/chart" uri="{C3380CC4-5D6E-409C-BE32-E72D297353CC}">
              <c16:uniqueId val="{00000000-E877-42A8-819C-3301AEDFBEF9}"/>
            </c:ext>
          </c:extLst>
        </c:ser>
        <c:dLbls>
          <c:dLblPos val="t"/>
          <c:showLegendKey val="0"/>
          <c:showVal val="1"/>
          <c:showCatName val="0"/>
          <c:showSerName val="0"/>
          <c:showPercent val="0"/>
          <c:showBubbleSize val="0"/>
        </c:dLbls>
        <c:marker val="1"/>
        <c:smooth val="0"/>
        <c:axId val="654705440"/>
        <c:axId val="2108992303"/>
      </c:lineChart>
      <c:catAx>
        <c:axId val="6547054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992303"/>
        <c:crosses val="autoZero"/>
        <c:auto val="1"/>
        <c:lblAlgn val="ctr"/>
        <c:lblOffset val="100"/>
        <c:noMultiLvlLbl val="0"/>
      </c:catAx>
      <c:valAx>
        <c:axId val="2108992303"/>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70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- 4.xlsx]Location Analysis!PivotTable3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Locations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Analysis'!$I$44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Analysis'!$H$45:$H$50</c:f>
              <c:strCache>
                <c:ptCount val="5"/>
                <c:pt idx="0">
                  <c:v>Noida Sector 18</c:v>
                </c:pt>
                <c:pt idx="1">
                  <c:v>Vaishali</c:v>
                </c:pt>
                <c:pt idx="2">
                  <c:v>Greater Noida</c:v>
                </c:pt>
                <c:pt idx="3">
                  <c:v>Noida Sector 15</c:v>
                </c:pt>
                <c:pt idx="4">
                  <c:v>Indirapuram</c:v>
                </c:pt>
              </c:strCache>
            </c:strRef>
          </c:cat>
          <c:val>
            <c:numRef>
              <c:f>'Location Analysis'!$I$45:$I$50</c:f>
              <c:numCache>
                <c:formatCode>_("₹"* #,##0.00_);_("₹"* \(#,##0.00\);_("₹"* "-"??_);_(@_)</c:formatCode>
                <c:ptCount val="5"/>
                <c:pt idx="0">
                  <c:v>28480</c:v>
                </c:pt>
                <c:pt idx="1">
                  <c:v>26570</c:v>
                </c:pt>
                <c:pt idx="2">
                  <c:v>23950</c:v>
                </c:pt>
                <c:pt idx="3">
                  <c:v>23160</c:v>
                </c:pt>
                <c:pt idx="4">
                  <c:v>23120</c:v>
                </c:pt>
              </c:numCache>
            </c:numRef>
          </c:val>
          <c:extLst>
            <c:ext xmlns:c16="http://schemas.microsoft.com/office/drawing/2014/chart" uri="{C3380CC4-5D6E-409C-BE32-E72D297353CC}">
              <c16:uniqueId val="{00000000-66A2-4D74-AC7D-B3F85D972794}"/>
            </c:ext>
          </c:extLst>
        </c:ser>
        <c:dLbls>
          <c:dLblPos val="outEnd"/>
          <c:showLegendKey val="0"/>
          <c:showVal val="1"/>
          <c:showCatName val="0"/>
          <c:showSerName val="0"/>
          <c:showPercent val="0"/>
          <c:showBubbleSize val="0"/>
        </c:dLbls>
        <c:gapWidth val="100"/>
        <c:overlap val="-24"/>
        <c:axId val="104254079"/>
        <c:axId val="414431727"/>
      </c:barChart>
      <c:catAx>
        <c:axId val="104254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431727"/>
        <c:crosses val="autoZero"/>
        <c:auto val="1"/>
        <c:lblAlgn val="ctr"/>
        <c:lblOffset val="100"/>
        <c:noMultiLvlLbl val="0"/>
      </c:catAx>
      <c:valAx>
        <c:axId val="414431727"/>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5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- 4.xlsx]Location Analysis!PivotTable4</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Top</a:t>
            </a:r>
            <a:r>
              <a:rPr lang="en-IN" sz="1400" baseline="0"/>
              <a:t> 6 Locations by Average Feedback Counts</a:t>
            </a:r>
            <a:endParaRPr lang="en-IN"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Analysis'!$M$44:$M$45</c:f>
              <c:strCache>
                <c:ptCount val="1"/>
                <c:pt idx="0">
                  <c:v>Average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Analysis'!$L$46:$L$52</c:f>
              <c:strCache>
                <c:ptCount val="6"/>
                <c:pt idx="0">
                  <c:v>Vaishali</c:v>
                </c:pt>
                <c:pt idx="1">
                  <c:v>Indirapuram</c:v>
                </c:pt>
                <c:pt idx="2">
                  <c:v>Greater Noida</c:v>
                </c:pt>
                <c:pt idx="3">
                  <c:v>Noida Sector 15</c:v>
                </c:pt>
                <c:pt idx="4">
                  <c:v>Noida Sector 18</c:v>
                </c:pt>
                <c:pt idx="5">
                  <c:v>Noida Sector 62</c:v>
                </c:pt>
              </c:strCache>
            </c:strRef>
          </c:cat>
          <c:val>
            <c:numRef>
              <c:f>'Location Analysis'!$M$46:$M$52</c:f>
              <c:numCache>
                <c:formatCode>General</c:formatCode>
                <c:ptCount val="6"/>
                <c:pt idx="0">
                  <c:v>23</c:v>
                </c:pt>
                <c:pt idx="1">
                  <c:v>23</c:v>
                </c:pt>
                <c:pt idx="2">
                  <c:v>22</c:v>
                </c:pt>
                <c:pt idx="3">
                  <c:v>22</c:v>
                </c:pt>
                <c:pt idx="4">
                  <c:v>18</c:v>
                </c:pt>
                <c:pt idx="5">
                  <c:v>17</c:v>
                </c:pt>
              </c:numCache>
            </c:numRef>
          </c:val>
          <c:extLst>
            <c:ext xmlns:c16="http://schemas.microsoft.com/office/drawing/2014/chart" uri="{C3380CC4-5D6E-409C-BE32-E72D297353CC}">
              <c16:uniqueId val="{00000000-3923-40A1-A72A-6B5AF5F76969}"/>
            </c:ext>
          </c:extLst>
        </c:ser>
        <c:ser>
          <c:idx val="1"/>
          <c:order val="1"/>
          <c:tx>
            <c:strRef>
              <c:f>'Location Analysis'!$N$44:$N$45</c:f>
              <c:strCache>
                <c:ptCount val="1"/>
                <c:pt idx="0">
                  <c:v>Excellent</c:v>
                </c:pt>
              </c:strCache>
            </c:strRef>
          </c:tx>
          <c:spPr>
            <a:solidFill>
              <a:schemeClr val="accent1">
                <a:lumMod val="20000"/>
                <a:lumOff val="8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Analysis'!$L$46:$L$52</c:f>
              <c:strCache>
                <c:ptCount val="6"/>
                <c:pt idx="0">
                  <c:v>Vaishali</c:v>
                </c:pt>
                <c:pt idx="1">
                  <c:v>Indirapuram</c:v>
                </c:pt>
                <c:pt idx="2">
                  <c:v>Greater Noida</c:v>
                </c:pt>
                <c:pt idx="3">
                  <c:v>Noida Sector 15</c:v>
                </c:pt>
                <c:pt idx="4">
                  <c:v>Noida Sector 18</c:v>
                </c:pt>
                <c:pt idx="5">
                  <c:v>Noida Sector 62</c:v>
                </c:pt>
              </c:strCache>
            </c:strRef>
          </c:cat>
          <c:val>
            <c:numRef>
              <c:f>'Location Analysis'!$N$46:$N$52</c:f>
              <c:numCache>
                <c:formatCode>General</c:formatCode>
                <c:ptCount val="6"/>
                <c:pt idx="0">
                  <c:v>33</c:v>
                </c:pt>
                <c:pt idx="1">
                  <c:v>11</c:v>
                </c:pt>
                <c:pt idx="2">
                  <c:v>33</c:v>
                </c:pt>
                <c:pt idx="3">
                  <c:v>26</c:v>
                </c:pt>
                <c:pt idx="4">
                  <c:v>40</c:v>
                </c:pt>
                <c:pt idx="5">
                  <c:v>35</c:v>
                </c:pt>
              </c:numCache>
            </c:numRef>
          </c:val>
          <c:extLst>
            <c:ext xmlns:c16="http://schemas.microsoft.com/office/drawing/2014/chart" uri="{C3380CC4-5D6E-409C-BE32-E72D297353CC}">
              <c16:uniqueId val="{00000001-3923-40A1-A72A-6B5AF5F76969}"/>
            </c:ext>
          </c:extLst>
        </c:ser>
        <c:ser>
          <c:idx val="2"/>
          <c:order val="2"/>
          <c:tx>
            <c:strRef>
              <c:f>'Location Analysis'!$O$44:$O$45</c:f>
              <c:strCache>
                <c:ptCount val="1"/>
                <c:pt idx="0">
                  <c:v>Good</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Analysis'!$L$46:$L$52</c:f>
              <c:strCache>
                <c:ptCount val="6"/>
                <c:pt idx="0">
                  <c:v>Vaishali</c:v>
                </c:pt>
                <c:pt idx="1">
                  <c:v>Indirapuram</c:v>
                </c:pt>
                <c:pt idx="2">
                  <c:v>Greater Noida</c:v>
                </c:pt>
                <c:pt idx="3">
                  <c:v>Noida Sector 15</c:v>
                </c:pt>
                <c:pt idx="4">
                  <c:v>Noida Sector 18</c:v>
                </c:pt>
                <c:pt idx="5">
                  <c:v>Noida Sector 62</c:v>
                </c:pt>
              </c:strCache>
            </c:strRef>
          </c:cat>
          <c:val>
            <c:numRef>
              <c:f>'Location Analysis'!$O$46:$O$52</c:f>
              <c:numCache>
                <c:formatCode>General</c:formatCode>
                <c:ptCount val="6"/>
                <c:pt idx="0">
                  <c:v>31</c:v>
                </c:pt>
                <c:pt idx="1">
                  <c:v>53</c:v>
                </c:pt>
                <c:pt idx="2">
                  <c:v>39</c:v>
                </c:pt>
                <c:pt idx="3">
                  <c:v>38</c:v>
                </c:pt>
                <c:pt idx="4">
                  <c:v>37</c:v>
                </c:pt>
                <c:pt idx="5">
                  <c:v>37</c:v>
                </c:pt>
              </c:numCache>
            </c:numRef>
          </c:val>
          <c:extLst>
            <c:ext xmlns:c16="http://schemas.microsoft.com/office/drawing/2014/chart" uri="{C3380CC4-5D6E-409C-BE32-E72D297353CC}">
              <c16:uniqueId val="{00000002-3923-40A1-A72A-6B5AF5F76969}"/>
            </c:ext>
          </c:extLst>
        </c:ser>
        <c:dLbls>
          <c:dLblPos val="outEnd"/>
          <c:showLegendKey val="0"/>
          <c:showVal val="1"/>
          <c:showCatName val="0"/>
          <c:showSerName val="0"/>
          <c:showPercent val="0"/>
          <c:showBubbleSize val="0"/>
        </c:dLbls>
        <c:gapWidth val="115"/>
        <c:overlap val="-20"/>
        <c:axId val="1775384111"/>
        <c:axId val="1633989775"/>
      </c:barChart>
      <c:catAx>
        <c:axId val="1775384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989775"/>
        <c:crosses val="autoZero"/>
        <c:auto val="1"/>
        <c:lblAlgn val="ctr"/>
        <c:lblOffset val="100"/>
        <c:noMultiLvlLbl val="0"/>
      </c:catAx>
      <c:valAx>
        <c:axId val="16339897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538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Product_Performance!A1"/><Relationship Id="rId13" Type="http://schemas.openxmlformats.org/officeDocument/2006/relationships/hyperlink" Target="#'Location Analysis'!A24"/><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hyperlink" Target="#Sales_Trend!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hyperlink" Target="#'Location Analysis'!A3"/><Relationship Id="rId5" Type="http://schemas.openxmlformats.org/officeDocument/2006/relationships/chart" Target="../charts/chart4.xml"/><Relationship Id="rId10" Type="http://schemas.openxmlformats.org/officeDocument/2006/relationships/hyperlink" Target="#Discount_Analysis!A1"/><Relationship Id="rId4" Type="http://schemas.openxmlformats.org/officeDocument/2006/relationships/chart" Target="../charts/chart3.xml"/><Relationship Id="rId9" Type="http://schemas.openxmlformats.org/officeDocument/2006/relationships/hyperlink" Target="#Customer_Analysis!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16933</xdr:rowOff>
    </xdr:from>
    <xdr:to>
      <xdr:col>13</xdr:col>
      <xdr:colOff>0</xdr:colOff>
      <xdr:row>4</xdr:row>
      <xdr:rowOff>16933</xdr:rowOff>
    </xdr:to>
    <xdr:sp macro="" textlink="">
      <xdr:nvSpPr>
        <xdr:cNvPr id="3" name="Rectangle 2">
          <a:extLst>
            <a:ext uri="{FF2B5EF4-FFF2-40B4-BE49-F238E27FC236}">
              <a16:creationId xmlns:a16="http://schemas.microsoft.com/office/drawing/2014/main" id="{188C6951-4C97-8099-BCF7-48A1AA5D8CCB}"/>
            </a:ext>
          </a:extLst>
        </xdr:cNvPr>
        <xdr:cNvSpPr/>
      </xdr:nvSpPr>
      <xdr:spPr>
        <a:xfrm>
          <a:off x="0" y="16933"/>
          <a:ext cx="7924800" cy="745067"/>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t>SWIGGY - SALES</a:t>
          </a:r>
          <a:r>
            <a:rPr lang="en-IN" sz="2400" b="1" baseline="0"/>
            <a:t> AND CUSTOMER ANALYSIS DASHBOARD</a:t>
          </a:r>
          <a:endParaRPr lang="en-IN" sz="2400" b="1"/>
        </a:p>
      </xdr:txBody>
    </xdr:sp>
    <xdr:clientData/>
  </xdr:twoCellAnchor>
  <xdr:twoCellAnchor editAs="oneCell">
    <xdr:from>
      <xdr:col>0</xdr:col>
      <xdr:colOff>0</xdr:colOff>
      <xdr:row>0</xdr:row>
      <xdr:rowOff>50801</xdr:rowOff>
    </xdr:from>
    <xdr:to>
      <xdr:col>1</xdr:col>
      <xdr:colOff>110067</xdr:colOff>
      <xdr:row>3</xdr:row>
      <xdr:rowOff>143933</xdr:rowOff>
    </xdr:to>
    <xdr:pic>
      <xdr:nvPicPr>
        <xdr:cNvPr id="5" name="Picture 4">
          <a:extLst>
            <a:ext uri="{FF2B5EF4-FFF2-40B4-BE49-F238E27FC236}">
              <a16:creationId xmlns:a16="http://schemas.microsoft.com/office/drawing/2014/main" id="{4F9EFD6D-EE0D-327D-980C-87F5084CC2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0801"/>
          <a:ext cx="719667" cy="651932"/>
        </a:xfrm>
        <a:prstGeom prst="rect">
          <a:avLst/>
        </a:prstGeom>
      </xdr:spPr>
    </xdr:pic>
    <xdr:clientData/>
  </xdr:twoCellAnchor>
  <xdr:twoCellAnchor>
    <xdr:from>
      <xdr:col>0</xdr:col>
      <xdr:colOff>0</xdr:colOff>
      <xdr:row>4</xdr:row>
      <xdr:rowOff>51370</xdr:rowOff>
    </xdr:from>
    <xdr:to>
      <xdr:col>12</xdr:col>
      <xdr:colOff>565078</xdr:colOff>
      <xdr:row>18</xdr:row>
      <xdr:rowOff>85619</xdr:rowOff>
    </xdr:to>
    <xdr:graphicFrame macro="">
      <xdr:nvGraphicFramePr>
        <xdr:cNvPr id="2" name="Chart 1">
          <a:extLst>
            <a:ext uri="{FF2B5EF4-FFF2-40B4-BE49-F238E27FC236}">
              <a16:creationId xmlns:a16="http://schemas.microsoft.com/office/drawing/2014/main" id="{5FDDDE73-90A9-42F3-989C-465C3873B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111301</xdr:rowOff>
    </xdr:from>
    <xdr:to>
      <xdr:col>6</xdr:col>
      <xdr:colOff>513708</xdr:colOff>
      <xdr:row>31</xdr:row>
      <xdr:rowOff>59933</xdr:rowOff>
    </xdr:to>
    <xdr:graphicFrame macro="">
      <xdr:nvGraphicFramePr>
        <xdr:cNvPr id="4" name="Chart 3">
          <a:extLst>
            <a:ext uri="{FF2B5EF4-FFF2-40B4-BE49-F238E27FC236}">
              <a16:creationId xmlns:a16="http://schemas.microsoft.com/office/drawing/2014/main" id="{D72F42F8-96CE-4D21-B6BC-3E381D398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530830</xdr:colOff>
      <xdr:row>18</xdr:row>
      <xdr:rowOff>111303</xdr:rowOff>
    </xdr:from>
    <xdr:to>
      <xdr:col>12</xdr:col>
      <xdr:colOff>573640</xdr:colOff>
      <xdr:row>31</xdr:row>
      <xdr:rowOff>68494</xdr:rowOff>
    </xdr:to>
    <xdr:graphicFrame macro="">
      <xdr:nvGraphicFramePr>
        <xdr:cNvPr id="6" name="Chart 5">
          <a:extLst>
            <a:ext uri="{FF2B5EF4-FFF2-40B4-BE49-F238E27FC236}">
              <a16:creationId xmlns:a16="http://schemas.microsoft.com/office/drawing/2014/main" id="{0D900D0A-1836-40C0-9C37-4225BE1FA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607886</xdr:colOff>
      <xdr:row>4</xdr:row>
      <xdr:rowOff>34247</xdr:rowOff>
    </xdr:from>
    <xdr:to>
      <xdr:col>20</xdr:col>
      <xdr:colOff>599326</xdr:colOff>
      <xdr:row>14</xdr:row>
      <xdr:rowOff>94180</xdr:rowOff>
    </xdr:to>
    <xdr:graphicFrame macro="">
      <xdr:nvGraphicFramePr>
        <xdr:cNvPr id="7" name="Chart 6">
          <a:extLst>
            <a:ext uri="{FF2B5EF4-FFF2-40B4-BE49-F238E27FC236}">
              <a16:creationId xmlns:a16="http://schemas.microsoft.com/office/drawing/2014/main" id="{D97B9424-52E2-4DD4-A14D-B22EC8B0C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17124</xdr:colOff>
      <xdr:row>4</xdr:row>
      <xdr:rowOff>42809</xdr:rowOff>
    </xdr:from>
    <xdr:to>
      <xdr:col>22</xdr:col>
      <xdr:colOff>590764</xdr:colOff>
      <xdr:row>14</xdr:row>
      <xdr:rowOff>77056</xdr:rowOff>
    </xdr:to>
    <xdr:sp macro="" textlink="">
      <xdr:nvSpPr>
        <xdr:cNvPr id="9" name="Rectangle 8">
          <a:extLst>
            <a:ext uri="{FF2B5EF4-FFF2-40B4-BE49-F238E27FC236}">
              <a16:creationId xmlns:a16="http://schemas.microsoft.com/office/drawing/2014/main" id="{A124F414-FC70-98FF-ADBC-59599B91B590}"/>
            </a:ext>
          </a:extLst>
        </xdr:cNvPr>
        <xdr:cNvSpPr/>
      </xdr:nvSpPr>
      <xdr:spPr>
        <a:xfrm>
          <a:off x="12782764" y="821933"/>
          <a:ext cx="1181528" cy="1832224"/>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900" b="1">
              <a:solidFill>
                <a:schemeClr val="tx1"/>
              </a:solidFill>
              <a:effectLst/>
              <a:latin typeface="+mn-lt"/>
              <a:ea typeface="+mn-ea"/>
              <a:cs typeface="+mn-cs"/>
            </a:rPr>
            <a:t>Data Note</a:t>
          </a:r>
          <a:endParaRPr lang="en-IN" sz="900" b="1">
            <a:solidFill>
              <a:schemeClr val="tx1"/>
            </a:solidFill>
            <a:effectLst/>
          </a:endParaRPr>
        </a:p>
        <a:p>
          <a:r>
            <a:rPr lang="en-IN" sz="900" b="0">
              <a:solidFill>
                <a:schemeClr val="tx1"/>
              </a:solidFill>
              <a:effectLst/>
              <a:latin typeface="+mn-lt"/>
              <a:ea typeface="+mn-ea"/>
              <a:cs typeface="+mn-cs"/>
            </a:rPr>
            <a:t>14</a:t>
          </a:r>
          <a:r>
            <a:rPr lang="en-IN" sz="900" b="0" baseline="0">
              <a:solidFill>
                <a:schemeClr val="tx1"/>
              </a:solidFill>
              <a:effectLst/>
              <a:latin typeface="+mn-lt"/>
              <a:ea typeface="+mn-ea"/>
              <a:cs typeface="+mn-cs"/>
            </a:rPr>
            <a:t> April excluded from trends view, due to unusually high recorded sales value and repeated order IDs. Original records retained; anomaly not independently verified. June data ends on 18th June 2025.</a:t>
          </a:r>
          <a:endParaRPr lang="en-IN" sz="900" b="0">
            <a:solidFill>
              <a:schemeClr val="tx1"/>
            </a:solidFill>
            <a:effectLst/>
          </a:endParaRPr>
        </a:p>
        <a:p>
          <a:pPr algn="l"/>
          <a:endParaRPr lang="en-IN" sz="1100"/>
        </a:p>
      </xdr:txBody>
    </xdr:sp>
    <xdr:clientData/>
  </xdr:twoCellAnchor>
  <xdr:twoCellAnchor editAs="oneCell">
    <xdr:from>
      <xdr:col>23</xdr:col>
      <xdr:colOff>8560</xdr:colOff>
      <xdr:row>4</xdr:row>
      <xdr:rowOff>34248</xdr:rowOff>
    </xdr:from>
    <xdr:to>
      <xdr:col>26</xdr:col>
      <xdr:colOff>119864</xdr:colOff>
      <xdr:row>10</xdr:row>
      <xdr:rowOff>102742</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D9415826-C1E3-4A3C-B4B7-63A4EE5E902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989976" y="813372"/>
              <a:ext cx="1934967" cy="1147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0</xdr:colOff>
      <xdr:row>14</xdr:row>
      <xdr:rowOff>128426</xdr:rowOff>
    </xdr:from>
    <xdr:to>
      <xdr:col>20</xdr:col>
      <xdr:colOff>282540</xdr:colOff>
      <xdr:row>31</xdr:row>
      <xdr:rowOff>68579</xdr:rowOff>
    </xdr:to>
    <xdr:graphicFrame macro="">
      <xdr:nvGraphicFramePr>
        <xdr:cNvPr id="8" name="Chart 7">
          <a:extLst>
            <a:ext uri="{FF2B5EF4-FFF2-40B4-BE49-F238E27FC236}">
              <a16:creationId xmlns:a16="http://schemas.microsoft.com/office/drawing/2014/main" id="{7852B928-6211-4904-B895-08A523A85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17123</xdr:colOff>
      <xdr:row>10</xdr:row>
      <xdr:rowOff>136989</xdr:rowOff>
    </xdr:from>
    <xdr:to>
      <xdr:col>26</xdr:col>
      <xdr:colOff>128427</xdr:colOff>
      <xdr:row>14</xdr:row>
      <xdr:rowOff>77056</xdr:rowOff>
    </xdr:to>
    <mc:AlternateContent xmlns:mc="http://schemas.openxmlformats.org/markup-compatibility/2006" xmlns:a14="http://schemas.microsoft.com/office/drawing/2010/main">
      <mc:Choice Requires="a14">
        <xdr:graphicFrame macro="">
          <xdr:nvGraphicFramePr>
            <xdr:cNvPr id="10" name="Customer_Type">
              <a:extLst>
                <a:ext uri="{FF2B5EF4-FFF2-40B4-BE49-F238E27FC236}">
                  <a16:creationId xmlns:a16="http://schemas.microsoft.com/office/drawing/2014/main" id="{B4931BC9-D338-4B24-98EF-DB82E8FF4485}"/>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3998539" y="1994899"/>
              <a:ext cx="1934967" cy="659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308224</xdr:colOff>
      <xdr:row>14</xdr:row>
      <xdr:rowOff>119864</xdr:rowOff>
    </xdr:from>
    <xdr:to>
      <xdr:col>26</xdr:col>
      <xdr:colOff>136988</xdr:colOff>
      <xdr:row>31</xdr:row>
      <xdr:rowOff>60959</xdr:rowOff>
    </xdr:to>
    <xdr:graphicFrame macro="">
      <xdr:nvGraphicFramePr>
        <xdr:cNvPr id="12" name="Chart 11">
          <a:extLst>
            <a:ext uri="{FF2B5EF4-FFF2-40B4-BE49-F238E27FC236}">
              <a16:creationId xmlns:a16="http://schemas.microsoft.com/office/drawing/2014/main" id="{2EDD532B-8921-4372-A347-BE1C25382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162673</xdr:colOff>
      <xdr:row>4</xdr:row>
      <xdr:rowOff>8562</xdr:rowOff>
    </xdr:from>
    <xdr:ext cx="470899" cy="376718"/>
    <xdr:sp macro="" textlink="">
      <xdr:nvSpPr>
        <xdr:cNvPr id="16" name="TextBox 15">
          <a:hlinkClick xmlns:r="http://schemas.openxmlformats.org/officeDocument/2006/relationships" r:id="rId8" tooltip="View Details"/>
          <a:extLst>
            <a:ext uri="{FF2B5EF4-FFF2-40B4-BE49-F238E27FC236}">
              <a16:creationId xmlns:a16="http://schemas.microsoft.com/office/drawing/2014/main" id="{44CBC1E3-0734-5C8B-CAC6-998D069CF20A}"/>
            </a:ext>
          </a:extLst>
        </xdr:cNvPr>
        <xdr:cNvSpPr txBox="1"/>
      </xdr:nvSpPr>
      <xdr:spPr>
        <a:xfrm>
          <a:off x="7457325" y="787686"/>
          <a:ext cx="470899" cy="376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a:solidFill>
                <a:schemeClr val="bg1"/>
              </a:solidFill>
            </a:rPr>
            <a:t>🛈</a:t>
          </a:r>
        </a:p>
      </xdr:txBody>
    </xdr:sp>
    <xdr:clientData/>
  </xdr:oneCellAnchor>
  <xdr:oneCellAnchor>
    <xdr:from>
      <xdr:col>6</xdr:col>
      <xdr:colOff>222606</xdr:colOff>
      <xdr:row>18</xdr:row>
      <xdr:rowOff>94180</xdr:rowOff>
    </xdr:from>
    <xdr:ext cx="339324" cy="336631"/>
    <xdr:sp macro="" textlink="">
      <xdr:nvSpPr>
        <xdr:cNvPr id="17" name="TextBox 16">
          <a:hlinkClick xmlns:r="http://schemas.openxmlformats.org/officeDocument/2006/relationships" r:id="rId9" tooltip="View Details"/>
          <a:extLst>
            <a:ext uri="{FF2B5EF4-FFF2-40B4-BE49-F238E27FC236}">
              <a16:creationId xmlns:a16="http://schemas.microsoft.com/office/drawing/2014/main" id="{B4E73A13-BBEF-EB70-ED1B-64DC3BBCB9FA}"/>
            </a:ext>
          </a:extLst>
        </xdr:cNvPr>
        <xdr:cNvSpPr txBox="1"/>
      </xdr:nvSpPr>
      <xdr:spPr>
        <a:xfrm>
          <a:off x="3869932" y="3390472"/>
          <a:ext cx="339324"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rPr>
            <a:t>🛈</a:t>
          </a:r>
        </a:p>
      </xdr:txBody>
    </xdr:sp>
    <xdr:clientData/>
  </xdr:oneCellAnchor>
  <xdr:oneCellAnchor>
    <xdr:from>
      <xdr:col>12</xdr:col>
      <xdr:colOff>265415</xdr:colOff>
      <xdr:row>18</xdr:row>
      <xdr:rowOff>77056</xdr:rowOff>
    </xdr:from>
    <xdr:ext cx="633573" cy="508857"/>
    <xdr:sp macro="" textlink="">
      <xdr:nvSpPr>
        <xdr:cNvPr id="18" name="TextBox 17">
          <a:hlinkClick xmlns:r="http://schemas.openxmlformats.org/officeDocument/2006/relationships" r:id="rId10" tooltip="View Details"/>
          <a:extLst>
            <a:ext uri="{FF2B5EF4-FFF2-40B4-BE49-F238E27FC236}">
              <a16:creationId xmlns:a16="http://schemas.microsoft.com/office/drawing/2014/main" id="{25076F36-9AD1-5716-0864-BEF8C961B9B6}"/>
            </a:ext>
          </a:extLst>
        </xdr:cNvPr>
        <xdr:cNvSpPr txBox="1"/>
      </xdr:nvSpPr>
      <xdr:spPr>
        <a:xfrm>
          <a:off x="7560067" y="3373348"/>
          <a:ext cx="633573" cy="508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a:t>
          </a:r>
          <a:endParaRPr lang="en-IN" sz="1400">
            <a:solidFill>
              <a:schemeClr val="bg1"/>
            </a:solidFill>
            <a:effectLst/>
          </a:endParaRPr>
        </a:p>
        <a:p>
          <a:endParaRPr lang="en-IN" sz="1100"/>
        </a:p>
      </xdr:txBody>
    </xdr:sp>
    <xdr:clientData/>
  </xdr:oneCellAnchor>
  <xdr:oneCellAnchor>
    <xdr:from>
      <xdr:col>19</xdr:col>
      <xdr:colOff>599327</xdr:colOff>
      <xdr:row>14</xdr:row>
      <xdr:rowOff>102741</xdr:rowOff>
    </xdr:from>
    <xdr:ext cx="339324" cy="508857"/>
    <xdr:sp macro="" textlink="">
      <xdr:nvSpPr>
        <xdr:cNvPr id="19" name="TextBox 18">
          <a:hlinkClick xmlns:r="http://schemas.openxmlformats.org/officeDocument/2006/relationships" r:id="rId11" tooltip="View Details"/>
          <a:extLst>
            <a:ext uri="{FF2B5EF4-FFF2-40B4-BE49-F238E27FC236}">
              <a16:creationId xmlns:a16="http://schemas.microsoft.com/office/drawing/2014/main" id="{8BD2FFF8-C999-C97A-F76F-47846564C99A}"/>
            </a:ext>
          </a:extLst>
        </xdr:cNvPr>
        <xdr:cNvSpPr txBox="1"/>
      </xdr:nvSpPr>
      <xdr:spPr>
        <a:xfrm>
          <a:off x="12149192" y="2679842"/>
          <a:ext cx="339324" cy="508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a:t>
          </a:r>
          <a:endParaRPr lang="en-IN" sz="1400">
            <a:solidFill>
              <a:schemeClr val="bg1"/>
            </a:solidFill>
            <a:effectLst/>
          </a:endParaRPr>
        </a:p>
        <a:p>
          <a:endParaRPr lang="en-IN" sz="1100"/>
        </a:p>
      </xdr:txBody>
    </xdr:sp>
    <xdr:clientData/>
  </xdr:oneCellAnchor>
  <xdr:oneCellAnchor>
    <xdr:from>
      <xdr:col>20</xdr:col>
      <xdr:colOff>316786</xdr:colOff>
      <xdr:row>3</xdr:row>
      <xdr:rowOff>214045</xdr:rowOff>
    </xdr:from>
    <xdr:ext cx="339324" cy="508857"/>
    <xdr:sp macro="" textlink="">
      <xdr:nvSpPr>
        <xdr:cNvPr id="20" name="TextBox 19">
          <a:hlinkClick xmlns:r="http://schemas.openxmlformats.org/officeDocument/2006/relationships" r:id="rId12" tooltip="View Details"/>
          <a:extLst>
            <a:ext uri="{FF2B5EF4-FFF2-40B4-BE49-F238E27FC236}">
              <a16:creationId xmlns:a16="http://schemas.microsoft.com/office/drawing/2014/main" id="{046DA6A5-6BA1-35D0-6212-524F21AC547C}"/>
            </a:ext>
          </a:extLst>
        </xdr:cNvPr>
        <xdr:cNvSpPr txBox="1"/>
      </xdr:nvSpPr>
      <xdr:spPr>
        <a:xfrm>
          <a:off x="12474539" y="753438"/>
          <a:ext cx="339324" cy="508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a:t>
          </a:r>
          <a:endParaRPr lang="en-IN" sz="1400">
            <a:solidFill>
              <a:schemeClr val="bg1"/>
            </a:solidFill>
            <a:effectLst/>
          </a:endParaRPr>
        </a:p>
        <a:p>
          <a:endParaRPr lang="en-IN" sz="1100"/>
        </a:p>
      </xdr:txBody>
    </xdr:sp>
    <xdr:clientData/>
  </xdr:oneCellAnchor>
  <xdr:oneCellAnchor>
    <xdr:from>
      <xdr:col>25</xdr:col>
      <xdr:colOff>453775</xdr:colOff>
      <xdr:row>14</xdr:row>
      <xdr:rowOff>68494</xdr:rowOff>
    </xdr:from>
    <xdr:ext cx="339324" cy="508857"/>
    <xdr:sp macro="" textlink="">
      <xdr:nvSpPr>
        <xdr:cNvPr id="21" name="TextBox 20">
          <a:hlinkClick xmlns:r="http://schemas.openxmlformats.org/officeDocument/2006/relationships" r:id="rId13" tooltip="View Details"/>
          <a:extLst>
            <a:ext uri="{FF2B5EF4-FFF2-40B4-BE49-F238E27FC236}">
              <a16:creationId xmlns:a16="http://schemas.microsoft.com/office/drawing/2014/main" id="{B6EA9C8E-6021-DB9E-5E75-3D5717E73F65}"/>
            </a:ext>
          </a:extLst>
        </xdr:cNvPr>
        <xdr:cNvSpPr txBox="1"/>
      </xdr:nvSpPr>
      <xdr:spPr>
        <a:xfrm>
          <a:off x="15650966" y="2645595"/>
          <a:ext cx="339324" cy="508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a:t>
          </a:r>
          <a:endParaRPr lang="en-IN" sz="1400">
            <a:solidFill>
              <a:schemeClr val="bg1"/>
            </a:solidFill>
            <a:effectLst/>
          </a:endParaRPr>
        </a:p>
        <a:p>
          <a:endParaRPr lang="en-IN"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0.93682</cdr:x>
      <cdr:y>0.01342</cdr:y>
    </cdr:from>
    <cdr:to>
      <cdr:x>1</cdr:x>
      <cdr:y>0.37181</cdr:y>
    </cdr:to>
    <cdr:sp macro="" textlink="">
      <cdr:nvSpPr>
        <cdr:cNvPr id="6" name="TextBox 5">
          <a:extLst xmlns:a="http://schemas.openxmlformats.org/drawingml/2006/main">
            <a:ext uri="{FF2B5EF4-FFF2-40B4-BE49-F238E27FC236}">
              <a16:creationId xmlns:a16="http://schemas.microsoft.com/office/drawing/2014/main" id="{4B1B4A52-3935-5936-E451-6B0324D1D4F1}"/>
            </a:ext>
          </a:extLst>
        </cdr:cNvPr>
        <cdr:cNvSpPr txBox="1"/>
      </cdr:nvSpPr>
      <cdr:spPr>
        <a:xfrm xmlns:a="http://schemas.openxmlformats.org/drawingml/2006/main">
          <a:off x="7363146" y="34248"/>
          <a:ext cx="496584"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0.91183</cdr:x>
      <cdr:y>0</cdr:y>
    </cdr:from>
    <cdr:to>
      <cdr:x>1</cdr:x>
      <cdr:y>0.13806</cdr:y>
    </cdr:to>
    <cdr:sp macro="" textlink="">
      <cdr:nvSpPr>
        <cdr:cNvPr id="4" name="TextBox 3">
          <a:extLst xmlns:a="http://schemas.openxmlformats.org/drawingml/2006/main">
            <a:ext uri="{FF2B5EF4-FFF2-40B4-BE49-F238E27FC236}">
              <a16:creationId xmlns:a16="http://schemas.microsoft.com/office/drawing/2014/main" id="{4533DA5E-A277-A4D0-2CAB-91CE663CB09F}"/>
            </a:ext>
          </a:extLst>
        </cdr:cNvPr>
        <cdr:cNvSpPr txBox="1"/>
      </cdr:nvSpPr>
      <cdr:spPr>
        <a:xfrm xmlns:a="http://schemas.openxmlformats.org/drawingml/2006/main">
          <a:off x="3364788" y="0"/>
          <a:ext cx="325348" cy="316787"/>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algn="r"/>
          <a:endParaRPr lang="en-IN" sz="1600" kern="1200">
            <a:solidFill>
              <a:schemeClr val="bg1"/>
            </a:solidFill>
          </a:endParaRPr>
        </a:p>
      </cdr:txBody>
    </cdr:sp>
  </cdr:relSizeAnchor>
  <cdr:relSizeAnchor xmlns:cdr="http://schemas.openxmlformats.org/drawingml/2006/chartDrawing">
    <cdr:from>
      <cdr:x>0.93271</cdr:x>
      <cdr:y>0</cdr:y>
    </cdr:from>
    <cdr:to>
      <cdr:x>1</cdr:x>
      <cdr:y>0.10448</cdr:y>
    </cdr:to>
    <cdr:sp macro="" textlink="">
      <cdr:nvSpPr>
        <cdr:cNvPr id="5" name="TextBox 4">
          <a:extLst xmlns:a="http://schemas.openxmlformats.org/drawingml/2006/main">
            <a:ext uri="{FF2B5EF4-FFF2-40B4-BE49-F238E27FC236}">
              <a16:creationId xmlns:a16="http://schemas.microsoft.com/office/drawing/2014/main" id="{77C21D2A-2156-ABF5-6D38-4CD11309A1AA}"/>
            </a:ext>
          </a:extLst>
        </cdr:cNvPr>
        <cdr:cNvSpPr txBox="1"/>
      </cdr:nvSpPr>
      <cdr:spPr>
        <a:xfrm xmlns:a="http://schemas.openxmlformats.org/drawingml/2006/main">
          <a:off x="3441844" y="0"/>
          <a:ext cx="248292" cy="2397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0.90487</cdr:x>
      <cdr:y>0</cdr:y>
    </cdr:from>
    <cdr:to>
      <cdr:x>1</cdr:x>
      <cdr:y>0.39851</cdr:y>
    </cdr:to>
    <cdr:sp macro="" textlink="">
      <cdr:nvSpPr>
        <cdr:cNvPr id="6" name="TextBox 5">
          <a:extLst xmlns:a="http://schemas.openxmlformats.org/drawingml/2006/main">
            <a:ext uri="{FF2B5EF4-FFF2-40B4-BE49-F238E27FC236}">
              <a16:creationId xmlns:a16="http://schemas.microsoft.com/office/drawing/2014/main" id="{06DE02CF-D5E1-3A34-1707-939B0EAF4C13}"/>
            </a:ext>
          </a:extLst>
        </cdr:cNvPr>
        <cdr:cNvSpPr txBox="1"/>
      </cdr:nvSpPr>
      <cdr:spPr>
        <a:xfrm xmlns:a="http://schemas.openxmlformats.org/drawingml/2006/main">
          <a:off x="3339102" y="0"/>
          <a:ext cx="351034"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person displayName="dikshitajena@gmail.com" id="{1E7EE56B-51E5-4026-A949-49A885DC0A49}" userId="7e37bd3a1cc6197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22.479362731479" createdVersion="8" refreshedVersion="8" minRefreshableVersion="3" recordCount="579" xr:uid="{CFF15E55-583C-4A61-B03F-A858F5AD1F3F}">
  <cacheSource type="worksheet">
    <worksheetSource name="Table3_1"/>
  </cacheSource>
  <cacheFields count="12">
    <cacheField name="Order_ID" numFmtId="0">
      <sharedItems/>
    </cacheField>
    <cacheField name="Date" numFmtId="14">
      <sharedItems containsSemiMixedTypes="0" containsNonDate="0" containsDate="1" containsString="0" minDate="2025-04-01T00:00:00" maxDate="2025-06-19T00:00:00" count="74">
        <d v="2025-04-01T00:00:00"/>
        <d v="2025-04-02T00:00:00"/>
        <d v="2025-04-05T00:00:00"/>
        <d v="2025-04-06T00:00:00"/>
        <d v="2025-04-08T00:00:00"/>
        <d v="2025-04-09T00:00:00"/>
        <d v="2025-04-10T00:00:00"/>
        <d v="2025-04-12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sharedItems>
      <fieldGroup par="11"/>
    </cacheField>
    <cacheField name="Item_Name" numFmtId="0">
      <sharedItems count="34">
        <s v="Veg Biryani"/>
        <s v="Chicken Tikka Masala"/>
        <s v="Butter Naan"/>
        <s v="Paneer Butter Masala"/>
        <s v="Garlic Bread"/>
        <s v="Chicken Biryani"/>
        <s v="Dal Makhani"/>
        <s v="Mixed Veg Curry"/>
        <s v="Fish Curry"/>
        <s v="Cheese Garlic Bread"/>
        <s v="Mutton Biryani"/>
        <s v="Veg Pulao"/>
        <s v="Dal Tadka"/>
        <s v="Mutton Rogan Josh"/>
        <s v="Butter Chicken"/>
        <s v="Veg Hakka Noodles"/>
        <s v="Garlic Naan"/>
        <s v="Kadai Paneer"/>
        <s v="Mutton Korma"/>
        <s v="Jeera Rice"/>
        <s v="Tandoori Roti"/>
        <s v="Malai Kofta"/>
        <s v="Chana Masala"/>
        <s v="Paneer Tikka Masala"/>
        <s v="Chicken Tikka"/>
        <s v="Gulab Jamun"/>
        <s v="Raita"/>
        <s v="Shahi Paneer"/>
        <s v="Laccha Paratha"/>
        <s v="Egg Curry"/>
        <s v="Veg Spring Rolls"/>
        <s v="Veg Manchurian"/>
        <s v="Dal Fry"/>
        <s v="Kadhai Chicken"/>
      </sharedItems>
    </cacheField>
    <cacheField name="Quantity" numFmtId="0">
      <sharedItems containsSemiMixedTypes="0" containsString="0" containsNumber="1" containsInteger="1" minValue="1" maxValue="4"/>
    </cacheField>
    <cacheField name="Total_Price" numFmtId="0">
      <sharedItems containsSemiMixedTypes="0" containsString="0" containsNumber="1" containsInteger="1" minValue="90" maxValue="500"/>
    </cacheField>
    <cacheField name="Customer_Type" numFmtId="0">
      <sharedItems count="2">
        <s v="Returning"/>
        <s v="New"/>
      </sharedItems>
    </cacheField>
    <cacheField name="Feedback" numFmtId="0">
      <sharedItems count="3">
        <s v="Good"/>
        <s v="Excellent"/>
        <s v="Average"/>
      </sharedItems>
    </cacheField>
    <cacheField name="Discount_applied" numFmtId="0">
      <sharedItems containsSemiMixedTypes="0" containsString="0" containsNumber="1" containsInteger="1" minValue="0" maxValue="50"/>
    </cacheField>
    <cacheField name="Delivery Location" numFmtId="0">
      <sharedItems count="16">
        <s v="Connaught Place"/>
        <s v="Saket"/>
        <s v="Karol Bagh"/>
        <s v="Hauz Khas"/>
        <s v="Lajpat Nagar"/>
        <s v="Rajouri Garden"/>
        <s v="Punjabi Bagh"/>
        <s v="Vasant Kunj"/>
        <s v="Noida Sector 18"/>
        <s v="Greater Noida"/>
        <s v="Noida Sector 62"/>
        <s v="Indirapuram"/>
        <s v="Vaishali"/>
        <s v="Noida Sector 15"/>
        <s v="NA"/>
        <s v="" u="1"/>
      </sharedItems>
    </cacheField>
    <cacheField name="Discount_Status" numFmtId="0">
      <sharedItems count="2">
        <s v="No Discount"/>
        <s v="Discount Applied"/>
      </sharedItems>
    </cacheField>
    <cacheField name="Days (Date)" numFmtId="0" databaseField="0">
      <fieldGroup base="1">
        <rangePr groupBy="days" startDate="2025-04-01T00:00:00" endDate="2025-06-19T00:00:00"/>
        <groupItems count="368">
          <s v="&lt;01-04-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06-2025"/>
        </groupItems>
      </fieldGroup>
    </cacheField>
    <cacheField name="Months (Date)" numFmtId="0" databaseField="0">
      <fieldGroup base="1">
        <rangePr groupBy="months" startDate="2025-04-01T00:00:00" endDate="2025-06-19T00:00:00"/>
        <groupItems count="14">
          <s v="&lt;01-04-2025"/>
          <s v="Jan"/>
          <s v="Feb"/>
          <s v="Mar"/>
          <s v="Apr"/>
          <s v="May"/>
          <s v="Jun"/>
          <s v="Jul"/>
          <s v="Aug"/>
          <s v="Sep"/>
          <s v="Oct"/>
          <s v="Nov"/>
          <s v="Dec"/>
          <s v="&gt;19-06-2025"/>
        </groupItems>
      </fieldGroup>
    </cacheField>
  </cacheFields>
  <extLst>
    <ext xmlns:x14="http://schemas.microsoft.com/office/spreadsheetml/2009/9/main" uri="{725AE2AE-9491-48be-B2B4-4EB974FC3084}">
      <x14:pivotCacheDefinition pivotCacheId="1008993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9">
  <r>
    <s v="SW-101"/>
    <x v="0"/>
    <x v="0"/>
    <n v="2"/>
    <n v="400"/>
    <x v="0"/>
    <x v="0"/>
    <n v="0"/>
    <x v="0"/>
    <x v="0"/>
  </r>
  <r>
    <s v="SW-102"/>
    <x v="1"/>
    <x v="1"/>
    <n v="1"/>
    <n v="350"/>
    <x v="1"/>
    <x v="1"/>
    <n v="50"/>
    <x v="1"/>
    <x v="1"/>
  </r>
  <r>
    <s v="SW-103"/>
    <x v="1"/>
    <x v="2"/>
    <n v="4"/>
    <n v="200"/>
    <x v="0"/>
    <x v="2"/>
    <n v="0"/>
    <x v="2"/>
    <x v="0"/>
  </r>
  <r>
    <s v="SW-104"/>
    <x v="2"/>
    <x v="3"/>
    <n v="1"/>
    <n v="250"/>
    <x v="1"/>
    <x v="0"/>
    <n v="20"/>
    <x v="3"/>
    <x v="1"/>
  </r>
  <r>
    <s v="SW-105"/>
    <x v="3"/>
    <x v="4"/>
    <n v="2"/>
    <n v="180"/>
    <x v="0"/>
    <x v="0"/>
    <n v="0"/>
    <x v="4"/>
    <x v="0"/>
  </r>
  <r>
    <s v="SW-106"/>
    <x v="3"/>
    <x v="0"/>
    <n v="1"/>
    <n v="200"/>
    <x v="1"/>
    <x v="2"/>
    <n v="10"/>
    <x v="0"/>
    <x v="1"/>
  </r>
  <r>
    <s v="SW-107"/>
    <x v="4"/>
    <x v="5"/>
    <n v="2"/>
    <n v="500"/>
    <x v="0"/>
    <x v="1"/>
    <n v="0"/>
    <x v="5"/>
    <x v="0"/>
  </r>
  <r>
    <s v="SW-108"/>
    <x v="4"/>
    <x v="6"/>
    <n v="1"/>
    <n v="180"/>
    <x v="0"/>
    <x v="0"/>
    <n v="30"/>
    <x v="1"/>
    <x v="1"/>
  </r>
  <r>
    <s v="SW-109"/>
    <x v="5"/>
    <x v="7"/>
    <n v="3"/>
    <n v="450"/>
    <x v="1"/>
    <x v="2"/>
    <n v="0"/>
    <x v="2"/>
    <x v="0"/>
  </r>
  <r>
    <s v="SW-110"/>
    <x v="6"/>
    <x v="8"/>
    <n v="1"/>
    <n v="300"/>
    <x v="0"/>
    <x v="1"/>
    <n v="50"/>
    <x v="4"/>
    <x v="1"/>
  </r>
  <r>
    <s v="SW-111"/>
    <x v="6"/>
    <x v="9"/>
    <n v="2"/>
    <n v="260"/>
    <x v="1"/>
    <x v="0"/>
    <n v="0"/>
    <x v="3"/>
    <x v="0"/>
  </r>
  <r>
    <s v="SW-112"/>
    <x v="7"/>
    <x v="10"/>
    <n v="1"/>
    <n v="350"/>
    <x v="0"/>
    <x v="1"/>
    <n v="0"/>
    <x v="5"/>
    <x v="0"/>
  </r>
  <r>
    <s v="SW-113"/>
    <x v="7"/>
    <x v="11"/>
    <n v="3"/>
    <n v="420"/>
    <x v="1"/>
    <x v="2"/>
    <n v="40"/>
    <x v="0"/>
    <x v="1"/>
  </r>
  <r>
    <s v="SW-114"/>
    <x v="8"/>
    <x v="12"/>
    <n v="2"/>
    <n v="240"/>
    <x v="0"/>
    <x v="1"/>
    <n v="0"/>
    <x v="6"/>
    <x v="0"/>
  </r>
  <r>
    <s v="SW-115"/>
    <x v="8"/>
    <x v="13"/>
    <n v="1"/>
    <n v="450"/>
    <x v="1"/>
    <x v="0"/>
    <n v="30"/>
    <x v="7"/>
    <x v="1"/>
  </r>
  <r>
    <s v="SW-116"/>
    <x v="9"/>
    <x v="14"/>
    <n v="2"/>
    <n v="500"/>
    <x v="0"/>
    <x v="1"/>
    <n v="0"/>
    <x v="8"/>
    <x v="0"/>
  </r>
  <r>
    <s v="SW-117"/>
    <x v="10"/>
    <x v="15"/>
    <n v="1"/>
    <n v="220"/>
    <x v="1"/>
    <x v="0"/>
    <n v="20"/>
    <x v="9"/>
    <x v="1"/>
  </r>
  <r>
    <s v="SW-118"/>
    <x v="10"/>
    <x v="16"/>
    <n v="3"/>
    <n v="180"/>
    <x v="0"/>
    <x v="2"/>
    <n v="0"/>
    <x v="10"/>
    <x v="0"/>
  </r>
  <r>
    <s v="SW-119"/>
    <x v="11"/>
    <x v="17"/>
    <n v="1"/>
    <n v="280"/>
    <x v="1"/>
    <x v="0"/>
    <n v="0"/>
    <x v="11"/>
    <x v="0"/>
  </r>
  <r>
    <s v="SW-120"/>
    <x v="12"/>
    <x v="5"/>
    <n v="2"/>
    <n v="500"/>
    <x v="0"/>
    <x v="1"/>
    <n v="10"/>
    <x v="12"/>
    <x v="1"/>
  </r>
  <r>
    <s v="SW-121"/>
    <x v="12"/>
    <x v="11"/>
    <n v="1"/>
    <n v="160"/>
    <x v="1"/>
    <x v="2"/>
    <n v="0"/>
    <x v="13"/>
    <x v="0"/>
  </r>
  <r>
    <s v="SW-122"/>
    <x v="13"/>
    <x v="18"/>
    <n v="1"/>
    <n v="380"/>
    <x v="0"/>
    <x v="0"/>
    <n v="25"/>
    <x v="8"/>
    <x v="1"/>
  </r>
  <r>
    <s v="SW-123"/>
    <x v="14"/>
    <x v="6"/>
    <n v="2"/>
    <n v="200"/>
    <x v="1"/>
    <x v="1"/>
    <n v="0"/>
    <x v="9"/>
    <x v="0"/>
  </r>
  <r>
    <s v="SW-124"/>
    <x v="14"/>
    <x v="19"/>
    <n v="1"/>
    <n v="140"/>
    <x v="0"/>
    <x v="0"/>
    <n v="0"/>
    <x v="10"/>
    <x v="0"/>
  </r>
  <r>
    <s v="SW-125"/>
    <x v="15"/>
    <x v="20"/>
    <n v="4"/>
    <n v="100"/>
    <x v="1"/>
    <x v="2"/>
    <n v="10"/>
    <x v="11"/>
    <x v="1"/>
  </r>
  <r>
    <s v="SW-126"/>
    <x v="16"/>
    <x v="21"/>
    <n v="2"/>
    <n v="320"/>
    <x v="0"/>
    <x v="0"/>
    <n v="0"/>
    <x v="12"/>
    <x v="0"/>
  </r>
  <r>
    <s v="SW-127"/>
    <x v="16"/>
    <x v="8"/>
    <n v="1"/>
    <n v="350"/>
    <x v="1"/>
    <x v="1"/>
    <n v="15"/>
    <x v="8"/>
    <x v="1"/>
  </r>
  <r>
    <s v="SW-128"/>
    <x v="17"/>
    <x v="22"/>
    <n v="2"/>
    <n v="240"/>
    <x v="0"/>
    <x v="2"/>
    <n v="0"/>
    <x v="13"/>
    <x v="0"/>
  </r>
  <r>
    <s v="SW-129"/>
    <x v="18"/>
    <x v="23"/>
    <n v="1"/>
    <n v="300"/>
    <x v="1"/>
    <x v="0"/>
    <n v="20"/>
    <x v="9"/>
    <x v="1"/>
  </r>
  <r>
    <s v="SW-130"/>
    <x v="18"/>
    <x v="2"/>
    <n v="3"/>
    <n v="150"/>
    <x v="0"/>
    <x v="1"/>
    <n v="0"/>
    <x v="10"/>
    <x v="0"/>
  </r>
  <r>
    <s v="SW-131"/>
    <x v="19"/>
    <x v="0"/>
    <n v="2"/>
    <n v="400"/>
    <x v="1"/>
    <x v="0"/>
    <n v="0"/>
    <x v="11"/>
    <x v="0"/>
  </r>
  <r>
    <s v="SW-132"/>
    <x v="20"/>
    <x v="24"/>
    <n v="1"/>
    <n v="250"/>
    <x v="0"/>
    <x v="1"/>
    <n v="30"/>
    <x v="12"/>
    <x v="1"/>
  </r>
  <r>
    <s v="SW-133"/>
    <x v="20"/>
    <x v="12"/>
    <n v="1"/>
    <n v="150"/>
    <x v="1"/>
    <x v="2"/>
    <n v="0"/>
    <x v="8"/>
    <x v="0"/>
  </r>
  <r>
    <s v="SW-134"/>
    <x v="21"/>
    <x v="7"/>
    <n v="2"/>
    <n v="300"/>
    <x v="0"/>
    <x v="0"/>
    <n v="0"/>
    <x v="13"/>
    <x v="0"/>
  </r>
  <r>
    <s v="SW-135"/>
    <x v="22"/>
    <x v="25"/>
    <n v="3"/>
    <n v="180"/>
    <x v="1"/>
    <x v="1"/>
    <n v="10"/>
    <x v="9"/>
    <x v="1"/>
  </r>
  <r>
    <s v="SW-136"/>
    <x v="22"/>
    <x v="26"/>
    <n v="2"/>
    <n v="90"/>
    <x v="0"/>
    <x v="0"/>
    <n v="0"/>
    <x v="10"/>
    <x v="0"/>
  </r>
  <r>
    <s v="SW-137"/>
    <x v="23"/>
    <x v="27"/>
    <n v="1"/>
    <n v="320"/>
    <x v="1"/>
    <x v="2"/>
    <n v="20"/>
    <x v="11"/>
    <x v="1"/>
  </r>
  <r>
    <s v="SW-138"/>
    <x v="24"/>
    <x v="28"/>
    <n v="3"/>
    <n v="120"/>
    <x v="0"/>
    <x v="1"/>
    <n v="0"/>
    <x v="12"/>
    <x v="0"/>
  </r>
  <r>
    <s v="SW-139"/>
    <x v="24"/>
    <x v="13"/>
    <n v="1"/>
    <n v="450"/>
    <x v="1"/>
    <x v="0"/>
    <n v="15"/>
    <x v="8"/>
    <x v="1"/>
  </r>
  <r>
    <s v="SW-140"/>
    <x v="25"/>
    <x v="29"/>
    <n v="2"/>
    <n v="260"/>
    <x v="0"/>
    <x v="1"/>
    <n v="0"/>
    <x v="13"/>
    <x v="0"/>
  </r>
  <r>
    <s v="SW-141"/>
    <x v="26"/>
    <x v="30"/>
    <n v="3"/>
    <n v="300"/>
    <x v="1"/>
    <x v="2"/>
    <n v="20"/>
    <x v="9"/>
    <x v="1"/>
  </r>
  <r>
    <s v="SW-142"/>
    <x v="26"/>
    <x v="31"/>
    <n v="1"/>
    <n v="200"/>
    <x v="0"/>
    <x v="0"/>
    <n v="0"/>
    <x v="10"/>
    <x v="0"/>
  </r>
  <r>
    <s v="SW-143"/>
    <x v="27"/>
    <x v="32"/>
    <n v="2"/>
    <n v="240"/>
    <x v="1"/>
    <x v="0"/>
    <n v="10"/>
    <x v="11"/>
    <x v="1"/>
  </r>
  <r>
    <s v="SW-144"/>
    <x v="28"/>
    <x v="33"/>
    <n v="1"/>
    <n v="320"/>
    <x v="0"/>
    <x v="1"/>
    <n v="0"/>
    <x v="12"/>
    <x v="0"/>
  </r>
  <r>
    <s v="SW-145"/>
    <x v="28"/>
    <x v="2"/>
    <n v="4"/>
    <n v="200"/>
    <x v="1"/>
    <x v="1"/>
    <n v="0"/>
    <x v="8"/>
    <x v="0"/>
  </r>
  <r>
    <s v="SW-146"/>
    <x v="29"/>
    <x v="3"/>
    <n v="1"/>
    <n v="250"/>
    <x v="0"/>
    <x v="0"/>
    <n v="30"/>
    <x v="13"/>
    <x v="1"/>
  </r>
  <r>
    <s v="SW-147"/>
    <x v="30"/>
    <x v="4"/>
    <n v="2"/>
    <n v="180"/>
    <x v="1"/>
    <x v="2"/>
    <n v="0"/>
    <x v="9"/>
    <x v="0"/>
  </r>
  <r>
    <s v="SW-148"/>
    <x v="30"/>
    <x v="0"/>
    <n v="1"/>
    <n v="200"/>
    <x v="0"/>
    <x v="0"/>
    <n v="0"/>
    <x v="10"/>
    <x v="0"/>
  </r>
  <r>
    <s v="SW-149"/>
    <x v="31"/>
    <x v="5"/>
    <n v="2"/>
    <n v="500"/>
    <x v="1"/>
    <x v="1"/>
    <n v="15"/>
    <x v="11"/>
    <x v="1"/>
  </r>
  <r>
    <s v="SW-150"/>
    <x v="32"/>
    <x v="6"/>
    <n v="1"/>
    <n v="180"/>
    <x v="0"/>
    <x v="0"/>
    <n v="0"/>
    <x v="12"/>
    <x v="0"/>
  </r>
  <r>
    <s v="SW-151"/>
    <x v="32"/>
    <x v="7"/>
    <n v="3"/>
    <n v="450"/>
    <x v="1"/>
    <x v="2"/>
    <n v="20"/>
    <x v="8"/>
    <x v="1"/>
  </r>
  <r>
    <s v="SW-152"/>
    <x v="33"/>
    <x v="8"/>
    <n v="1"/>
    <n v="300"/>
    <x v="0"/>
    <x v="1"/>
    <n v="0"/>
    <x v="13"/>
    <x v="0"/>
  </r>
  <r>
    <s v="SW-153"/>
    <x v="34"/>
    <x v="9"/>
    <n v="2"/>
    <n v="260"/>
    <x v="1"/>
    <x v="0"/>
    <n v="0"/>
    <x v="9"/>
    <x v="0"/>
  </r>
  <r>
    <s v="SW-154"/>
    <x v="34"/>
    <x v="10"/>
    <n v="1"/>
    <n v="350"/>
    <x v="0"/>
    <x v="1"/>
    <n v="25"/>
    <x v="10"/>
    <x v="1"/>
  </r>
  <r>
    <s v="SW-155"/>
    <x v="35"/>
    <x v="11"/>
    <n v="3"/>
    <n v="420"/>
    <x v="1"/>
    <x v="2"/>
    <n v="0"/>
    <x v="11"/>
    <x v="0"/>
  </r>
  <r>
    <s v="SW-156"/>
    <x v="36"/>
    <x v="14"/>
    <n v="2"/>
    <n v="500"/>
    <x v="0"/>
    <x v="0"/>
    <n v="0"/>
    <x v="12"/>
    <x v="0"/>
  </r>
  <r>
    <s v="SW-157"/>
    <x v="36"/>
    <x v="15"/>
    <n v="1"/>
    <n v="220"/>
    <x v="1"/>
    <x v="0"/>
    <n v="10"/>
    <x v="8"/>
    <x v="1"/>
  </r>
  <r>
    <s v="SW-158"/>
    <x v="37"/>
    <x v="16"/>
    <n v="3"/>
    <n v="180"/>
    <x v="0"/>
    <x v="2"/>
    <n v="0"/>
    <x v="13"/>
    <x v="0"/>
  </r>
  <r>
    <s v="SW-159"/>
    <x v="38"/>
    <x v="17"/>
    <n v="1"/>
    <n v="280"/>
    <x v="1"/>
    <x v="1"/>
    <n v="0"/>
    <x v="9"/>
    <x v="0"/>
  </r>
  <r>
    <s v="SW-160"/>
    <x v="38"/>
    <x v="5"/>
    <n v="2"/>
    <n v="500"/>
    <x v="0"/>
    <x v="1"/>
    <n v="15"/>
    <x v="10"/>
    <x v="1"/>
  </r>
  <r>
    <s v="SW-161"/>
    <x v="39"/>
    <x v="11"/>
    <n v="1"/>
    <n v="160"/>
    <x v="1"/>
    <x v="2"/>
    <n v="0"/>
    <x v="11"/>
    <x v="0"/>
  </r>
  <r>
    <s v="SW-162"/>
    <x v="39"/>
    <x v="18"/>
    <n v="1"/>
    <n v="380"/>
    <x v="0"/>
    <x v="0"/>
    <n v="0"/>
    <x v="12"/>
    <x v="0"/>
  </r>
  <r>
    <s v="SW-163"/>
    <x v="40"/>
    <x v="6"/>
    <n v="2"/>
    <n v="200"/>
    <x v="1"/>
    <x v="0"/>
    <n v="10"/>
    <x v="8"/>
    <x v="1"/>
  </r>
  <r>
    <s v="SW-164"/>
    <x v="40"/>
    <x v="19"/>
    <n v="1"/>
    <n v="140"/>
    <x v="0"/>
    <x v="1"/>
    <n v="0"/>
    <x v="13"/>
    <x v="0"/>
  </r>
  <r>
    <s v="SW-165"/>
    <x v="41"/>
    <x v="20"/>
    <n v="4"/>
    <n v="100"/>
    <x v="1"/>
    <x v="0"/>
    <n v="0"/>
    <x v="9"/>
    <x v="0"/>
  </r>
  <r>
    <s v="SW-166"/>
    <x v="41"/>
    <x v="17"/>
    <n v="1"/>
    <n v="280"/>
    <x v="1"/>
    <x v="0"/>
    <n v="20"/>
    <x v="8"/>
    <x v="1"/>
  </r>
  <r>
    <s v="SW-167"/>
    <x v="42"/>
    <x v="14"/>
    <n v="2"/>
    <n v="500"/>
    <x v="0"/>
    <x v="1"/>
    <n v="0"/>
    <x v="9"/>
    <x v="0"/>
  </r>
  <r>
    <s v="SW-168"/>
    <x v="42"/>
    <x v="15"/>
    <n v="1"/>
    <n v="220"/>
    <x v="1"/>
    <x v="2"/>
    <n v="0"/>
    <x v="10"/>
    <x v="0"/>
  </r>
  <r>
    <s v="SW-169"/>
    <x v="43"/>
    <x v="16"/>
    <n v="3"/>
    <n v="180"/>
    <x v="0"/>
    <x v="0"/>
    <n v="0"/>
    <x v="11"/>
    <x v="0"/>
  </r>
  <r>
    <s v="SW-170"/>
    <x v="44"/>
    <x v="17"/>
    <n v="1"/>
    <n v="280"/>
    <x v="1"/>
    <x v="1"/>
    <n v="10"/>
    <x v="12"/>
    <x v="1"/>
  </r>
  <r>
    <s v="SW-171"/>
    <x v="44"/>
    <x v="5"/>
    <n v="2"/>
    <n v="500"/>
    <x v="0"/>
    <x v="0"/>
    <n v="0"/>
    <x v="13"/>
    <x v="0"/>
  </r>
  <r>
    <s v="SW-172"/>
    <x v="45"/>
    <x v="11"/>
    <n v="1"/>
    <n v="160"/>
    <x v="1"/>
    <x v="2"/>
    <n v="15"/>
    <x v="8"/>
    <x v="1"/>
  </r>
  <r>
    <s v="SW-173"/>
    <x v="46"/>
    <x v="18"/>
    <n v="1"/>
    <n v="380"/>
    <x v="0"/>
    <x v="1"/>
    <n v="0"/>
    <x v="9"/>
    <x v="0"/>
  </r>
  <r>
    <s v="SW-174"/>
    <x v="46"/>
    <x v="6"/>
    <n v="2"/>
    <n v="200"/>
    <x v="1"/>
    <x v="0"/>
    <n v="0"/>
    <x v="10"/>
    <x v="0"/>
  </r>
  <r>
    <s v="SW-175"/>
    <x v="47"/>
    <x v="19"/>
    <n v="1"/>
    <n v="140"/>
    <x v="0"/>
    <x v="0"/>
    <n v="20"/>
    <x v="11"/>
    <x v="1"/>
  </r>
  <r>
    <s v="SW-176"/>
    <x v="48"/>
    <x v="20"/>
    <n v="4"/>
    <n v="100"/>
    <x v="1"/>
    <x v="2"/>
    <n v="0"/>
    <x v="12"/>
    <x v="0"/>
  </r>
  <r>
    <s v="SW-177"/>
    <x v="48"/>
    <x v="21"/>
    <n v="2"/>
    <n v="320"/>
    <x v="0"/>
    <x v="1"/>
    <n v="0"/>
    <x v="8"/>
    <x v="0"/>
  </r>
  <r>
    <s v="SW-178"/>
    <x v="49"/>
    <x v="8"/>
    <n v="1"/>
    <n v="350"/>
    <x v="1"/>
    <x v="0"/>
    <n v="25"/>
    <x v="13"/>
    <x v="1"/>
  </r>
  <r>
    <s v="SW-179"/>
    <x v="50"/>
    <x v="22"/>
    <n v="2"/>
    <n v="240"/>
    <x v="0"/>
    <x v="0"/>
    <n v="0"/>
    <x v="9"/>
    <x v="0"/>
  </r>
  <r>
    <s v="SW-180"/>
    <x v="50"/>
    <x v="23"/>
    <n v="1"/>
    <n v="300"/>
    <x v="1"/>
    <x v="1"/>
    <n v="0"/>
    <x v="10"/>
    <x v="0"/>
  </r>
  <r>
    <s v="SW-181"/>
    <x v="51"/>
    <x v="2"/>
    <n v="3"/>
    <n v="150"/>
    <x v="0"/>
    <x v="0"/>
    <n v="10"/>
    <x v="11"/>
    <x v="1"/>
  </r>
  <r>
    <s v="SW-182"/>
    <x v="52"/>
    <x v="0"/>
    <n v="2"/>
    <n v="400"/>
    <x v="1"/>
    <x v="2"/>
    <n v="0"/>
    <x v="12"/>
    <x v="0"/>
  </r>
  <r>
    <s v="SW-183"/>
    <x v="52"/>
    <x v="24"/>
    <n v="1"/>
    <n v="250"/>
    <x v="0"/>
    <x v="1"/>
    <n v="0"/>
    <x v="8"/>
    <x v="0"/>
  </r>
  <r>
    <s v="SW-184"/>
    <x v="53"/>
    <x v="12"/>
    <n v="1"/>
    <n v="150"/>
    <x v="1"/>
    <x v="0"/>
    <n v="15"/>
    <x v="13"/>
    <x v="1"/>
  </r>
  <r>
    <s v="SW-185"/>
    <x v="54"/>
    <x v="7"/>
    <n v="2"/>
    <n v="300"/>
    <x v="0"/>
    <x v="0"/>
    <n v="0"/>
    <x v="9"/>
    <x v="0"/>
  </r>
  <r>
    <s v="SW-186"/>
    <x v="54"/>
    <x v="25"/>
    <n v="3"/>
    <n v="180"/>
    <x v="1"/>
    <x v="1"/>
    <n v="0"/>
    <x v="10"/>
    <x v="0"/>
  </r>
  <r>
    <s v="SW-187"/>
    <x v="55"/>
    <x v="26"/>
    <n v="2"/>
    <n v="90"/>
    <x v="0"/>
    <x v="0"/>
    <n v="20"/>
    <x v="11"/>
    <x v="1"/>
  </r>
  <r>
    <s v="SW-188"/>
    <x v="56"/>
    <x v="27"/>
    <n v="1"/>
    <n v="320"/>
    <x v="1"/>
    <x v="2"/>
    <n v="0"/>
    <x v="12"/>
    <x v="0"/>
  </r>
  <r>
    <s v="SW-189"/>
    <x v="56"/>
    <x v="28"/>
    <n v="3"/>
    <n v="120"/>
    <x v="0"/>
    <x v="0"/>
    <n v="0"/>
    <x v="8"/>
    <x v="0"/>
  </r>
  <r>
    <s v="SW-190"/>
    <x v="57"/>
    <x v="13"/>
    <n v="1"/>
    <n v="450"/>
    <x v="1"/>
    <x v="1"/>
    <n v="10"/>
    <x v="13"/>
    <x v="1"/>
  </r>
  <r>
    <s v="SW-191"/>
    <x v="58"/>
    <x v="29"/>
    <n v="2"/>
    <n v="260"/>
    <x v="0"/>
    <x v="1"/>
    <n v="0"/>
    <x v="9"/>
    <x v="0"/>
  </r>
  <r>
    <s v="SW-192"/>
    <x v="58"/>
    <x v="30"/>
    <n v="3"/>
    <n v="300"/>
    <x v="1"/>
    <x v="2"/>
    <n v="0"/>
    <x v="10"/>
    <x v="0"/>
  </r>
  <r>
    <s v="SW-193"/>
    <x v="59"/>
    <x v="31"/>
    <n v="1"/>
    <n v="200"/>
    <x v="0"/>
    <x v="0"/>
    <n v="25"/>
    <x v="11"/>
    <x v="1"/>
  </r>
  <r>
    <s v="SW-194"/>
    <x v="60"/>
    <x v="32"/>
    <n v="2"/>
    <n v="240"/>
    <x v="1"/>
    <x v="0"/>
    <n v="0"/>
    <x v="12"/>
    <x v="0"/>
  </r>
  <r>
    <s v="SW-195"/>
    <x v="60"/>
    <x v="33"/>
    <n v="1"/>
    <n v="320"/>
    <x v="0"/>
    <x v="1"/>
    <n v="0"/>
    <x v="8"/>
    <x v="0"/>
  </r>
  <r>
    <s v="SW-196"/>
    <x v="61"/>
    <x v="2"/>
    <n v="4"/>
    <n v="200"/>
    <x v="1"/>
    <x v="0"/>
    <n v="0"/>
    <x v="13"/>
    <x v="0"/>
  </r>
  <r>
    <s v="SW-197"/>
    <x v="62"/>
    <x v="3"/>
    <n v="1"/>
    <n v="250"/>
    <x v="0"/>
    <x v="2"/>
    <n v="15"/>
    <x v="9"/>
    <x v="1"/>
  </r>
  <r>
    <s v="SW-198"/>
    <x v="62"/>
    <x v="4"/>
    <n v="2"/>
    <n v="180"/>
    <x v="1"/>
    <x v="0"/>
    <n v="0"/>
    <x v="10"/>
    <x v="0"/>
  </r>
  <r>
    <s v="SW-199"/>
    <x v="63"/>
    <x v="0"/>
    <n v="1"/>
    <n v="200"/>
    <x v="0"/>
    <x v="1"/>
    <n v="0"/>
    <x v="11"/>
    <x v="0"/>
  </r>
  <r>
    <s v="SW-200"/>
    <x v="64"/>
    <x v="5"/>
    <n v="2"/>
    <n v="500"/>
    <x v="1"/>
    <x v="0"/>
    <n v="30"/>
    <x v="12"/>
    <x v="1"/>
  </r>
  <r>
    <s v="SW-201"/>
    <x v="64"/>
    <x v="6"/>
    <n v="1"/>
    <n v="180"/>
    <x v="0"/>
    <x v="0"/>
    <n v="0"/>
    <x v="8"/>
    <x v="0"/>
  </r>
  <r>
    <s v="SW-202"/>
    <x v="65"/>
    <x v="7"/>
    <n v="3"/>
    <n v="450"/>
    <x v="1"/>
    <x v="2"/>
    <n v="0"/>
    <x v="13"/>
    <x v="0"/>
  </r>
  <r>
    <s v="SW-203"/>
    <x v="65"/>
    <x v="8"/>
    <n v="1"/>
    <n v="300"/>
    <x v="0"/>
    <x v="1"/>
    <n v="10"/>
    <x v="9"/>
    <x v="1"/>
  </r>
  <r>
    <s v="SW-204"/>
    <x v="66"/>
    <x v="9"/>
    <n v="2"/>
    <n v="260"/>
    <x v="1"/>
    <x v="1"/>
    <n v="0"/>
    <x v="10"/>
    <x v="0"/>
  </r>
  <r>
    <s v="SW-205"/>
    <x v="67"/>
    <x v="10"/>
    <n v="1"/>
    <n v="350"/>
    <x v="0"/>
    <x v="0"/>
    <n v="0"/>
    <x v="11"/>
    <x v="0"/>
  </r>
  <r>
    <s v="SW-206"/>
    <x v="67"/>
    <x v="11"/>
    <n v="3"/>
    <n v="420"/>
    <x v="1"/>
    <x v="2"/>
    <n v="20"/>
    <x v="12"/>
    <x v="1"/>
  </r>
  <r>
    <s v="SW-207"/>
    <x v="68"/>
    <x v="14"/>
    <n v="2"/>
    <n v="500"/>
    <x v="0"/>
    <x v="1"/>
    <n v="0"/>
    <x v="8"/>
    <x v="0"/>
  </r>
  <r>
    <s v="SW-208"/>
    <x v="69"/>
    <x v="15"/>
    <n v="1"/>
    <n v="220"/>
    <x v="1"/>
    <x v="0"/>
    <n v="0"/>
    <x v="13"/>
    <x v="0"/>
  </r>
  <r>
    <s v="SW-209"/>
    <x v="69"/>
    <x v="16"/>
    <n v="3"/>
    <n v="180"/>
    <x v="0"/>
    <x v="2"/>
    <n v="15"/>
    <x v="9"/>
    <x v="1"/>
  </r>
  <r>
    <s v="SW-210"/>
    <x v="70"/>
    <x v="17"/>
    <n v="1"/>
    <n v="280"/>
    <x v="1"/>
    <x v="1"/>
    <n v="0"/>
    <x v="10"/>
    <x v="0"/>
  </r>
  <r>
    <s v="SW-211"/>
    <x v="71"/>
    <x v="5"/>
    <n v="2"/>
    <n v="500"/>
    <x v="0"/>
    <x v="0"/>
    <n v="0"/>
    <x v="11"/>
    <x v="0"/>
  </r>
  <r>
    <s v="SW-212"/>
    <x v="71"/>
    <x v="11"/>
    <n v="1"/>
    <n v="160"/>
    <x v="1"/>
    <x v="2"/>
    <n v="0"/>
    <x v="12"/>
    <x v="0"/>
  </r>
  <r>
    <s v="SW-213"/>
    <x v="72"/>
    <x v="18"/>
    <n v="1"/>
    <n v="380"/>
    <x v="0"/>
    <x v="0"/>
    <n v="10"/>
    <x v="8"/>
    <x v="1"/>
  </r>
  <r>
    <s v="SW-214"/>
    <x v="73"/>
    <x v="6"/>
    <n v="2"/>
    <n v="200"/>
    <x v="1"/>
    <x v="1"/>
    <n v="0"/>
    <x v="13"/>
    <x v="0"/>
  </r>
  <r>
    <s v="SW-215"/>
    <x v="73"/>
    <x v="19"/>
    <n v="1"/>
    <n v="140"/>
    <x v="0"/>
    <x v="0"/>
    <n v="0"/>
    <x v="9"/>
    <x v="0"/>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9"/>
    <x v="1"/>
  </r>
  <r>
    <s v="SW-216"/>
    <x v="8"/>
    <x v="26"/>
    <n v="2"/>
    <n v="90"/>
    <x v="0"/>
    <x v="0"/>
    <n v="0"/>
    <x v="10"/>
    <x v="0"/>
  </r>
  <r>
    <s v="SW-216"/>
    <x v="8"/>
    <x v="27"/>
    <n v="1"/>
    <n v="320"/>
    <x v="1"/>
    <x v="2"/>
    <n v="20"/>
    <x v="11"/>
    <x v="1"/>
  </r>
  <r>
    <s v="SW-216"/>
    <x v="8"/>
    <x v="28"/>
    <n v="3"/>
    <n v="120"/>
    <x v="0"/>
    <x v="1"/>
    <n v="0"/>
    <x v="12"/>
    <x v="0"/>
  </r>
  <r>
    <s v="SW-216"/>
    <x v="8"/>
    <x v="13"/>
    <n v="1"/>
    <n v="450"/>
    <x v="1"/>
    <x v="0"/>
    <n v="15"/>
    <x v="8"/>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9"/>
    <n v="2"/>
    <n v="260"/>
    <x v="1"/>
    <x v="0"/>
    <n v="0"/>
    <x v="3"/>
    <x v="0"/>
  </r>
  <r>
    <s v="SW-216"/>
    <x v="8"/>
    <x v="10"/>
    <n v="1"/>
    <n v="350"/>
    <x v="0"/>
    <x v="1"/>
    <n v="0"/>
    <x v="5"/>
    <x v="0"/>
  </r>
  <r>
    <s v="SW-216"/>
    <x v="8"/>
    <x v="11"/>
    <n v="3"/>
    <n v="420"/>
    <x v="1"/>
    <x v="2"/>
    <n v="40"/>
    <x v="0"/>
    <x v="1"/>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14"/>
    <x v="1"/>
  </r>
  <r>
    <s v="SW-216"/>
    <x v="8"/>
    <x v="26"/>
    <n v="2"/>
    <n v="90"/>
    <x v="0"/>
    <x v="0"/>
    <n v="0"/>
    <x v="10"/>
    <x v="0"/>
  </r>
  <r>
    <s v="SW-216"/>
    <x v="8"/>
    <x v="27"/>
    <n v="1"/>
    <n v="320"/>
    <x v="1"/>
    <x v="2"/>
    <n v="20"/>
    <x v="11"/>
    <x v="1"/>
  </r>
  <r>
    <s v="SW-216"/>
    <x v="8"/>
    <x v="28"/>
    <n v="3"/>
    <n v="120"/>
    <x v="0"/>
    <x v="1"/>
    <n v="0"/>
    <x v="12"/>
    <x v="0"/>
  </r>
  <r>
    <s v="SW-216"/>
    <x v="8"/>
    <x v="13"/>
    <n v="1"/>
    <n v="450"/>
    <x v="1"/>
    <x v="0"/>
    <n v="15"/>
    <x v="14"/>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11"/>
    <n v="3"/>
    <n v="420"/>
    <x v="1"/>
    <x v="2"/>
    <n v="0"/>
    <x v="11"/>
    <x v="0"/>
  </r>
  <r>
    <s v="SW-216"/>
    <x v="8"/>
    <x v="14"/>
    <n v="2"/>
    <n v="500"/>
    <x v="0"/>
    <x v="0"/>
    <n v="0"/>
    <x v="12"/>
    <x v="0"/>
  </r>
  <r>
    <s v="SW-216"/>
    <x v="8"/>
    <x v="15"/>
    <n v="1"/>
    <n v="220"/>
    <x v="1"/>
    <x v="0"/>
    <n v="10"/>
    <x v="8"/>
    <x v="1"/>
  </r>
  <r>
    <s v="SW-216"/>
    <x v="8"/>
    <x v="16"/>
    <n v="3"/>
    <n v="180"/>
    <x v="0"/>
    <x v="2"/>
    <n v="0"/>
    <x v="13"/>
    <x v="0"/>
  </r>
  <r>
    <s v="SW-216"/>
    <x v="8"/>
    <x v="17"/>
    <n v="1"/>
    <n v="280"/>
    <x v="1"/>
    <x v="1"/>
    <n v="0"/>
    <x v="9"/>
    <x v="0"/>
  </r>
  <r>
    <s v="SW-216"/>
    <x v="8"/>
    <x v="5"/>
    <n v="2"/>
    <n v="500"/>
    <x v="0"/>
    <x v="1"/>
    <n v="15"/>
    <x v="10"/>
    <x v="1"/>
  </r>
  <r>
    <s v="SW-216"/>
    <x v="8"/>
    <x v="11"/>
    <n v="1"/>
    <n v="160"/>
    <x v="1"/>
    <x v="2"/>
    <n v="0"/>
    <x v="11"/>
    <x v="0"/>
  </r>
  <r>
    <s v="SW-216"/>
    <x v="8"/>
    <x v="18"/>
    <n v="1"/>
    <n v="380"/>
    <x v="0"/>
    <x v="0"/>
    <n v="0"/>
    <x v="12"/>
    <x v="0"/>
  </r>
  <r>
    <s v="SW-216"/>
    <x v="8"/>
    <x v="6"/>
    <n v="2"/>
    <n v="200"/>
    <x v="1"/>
    <x v="0"/>
    <n v="10"/>
    <x v="8"/>
    <x v="1"/>
  </r>
  <r>
    <s v="SW-216"/>
    <x v="8"/>
    <x v="19"/>
    <n v="1"/>
    <n v="140"/>
    <x v="0"/>
    <x v="1"/>
    <n v="0"/>
    <x v="13"/>
    <x v="0"/>
  </r>
  <r>
    <s v="SW-216"/>
    <x v="8"/>
    <x v="20"/>
    <n v="4"/>
    <n v="100"/>
    <x v="1"/>
    <x v="0"/>
    <n v="0"/>
    <x v="9"/>
    <x v="0"/>
  </r>
  <r>
    <s v="SW-216"/>
    <x v="8"/>
    <x v="17"/>
    <n v="1"/>
    <n v="280"/>
    <x v="1"/>
    <x v="0"/>
    <n v="20"/>
    <x v="8"/>
    <x v="1"/>
  </r>
  <r>
    <s v="SW-216"/>
    <x v="8"/>
    <x v="14"/>
    <n v="2"/>
    <n v="500"/>
    <x v="0"/>
    <x v="1"/>
    <n v="0"/>
    <x v="9"/>
    <x v="0"/>
  </r>
  <r>
    <s v="SW-216"/>
    <x v="8"/>
    <x v="15"/>
    <n v="1"/>
    <n v="220"/>
    <x v="1"/>
    <x v="2"/>
    <n v="0"/>
    <x v="10"/>
    <x v="0"/>
  </r>
  <r>
    <s v="SW-216"/>
    <x v="8"/>
    <x v="16"/>
    <n v="3"/>
    <n v="180"/>
    <x v="0"/>
    <x v="0"/>
    <n v="0"/>
    <x v="11"/>
    <x v="0"/>
  </r>
  <r>
    <s v="SW-216"/>
    <x v="8"/>
    <x v="17"/>
    <n v="1"/>
    <n v="280"/>
    <x v="1"/>
    <x v="1"/>
    <n v="10"/>
    <x v="12"/>
    <x v="1"/>
  </r>
  <r>
    <s v="SW-216"/>
    <x v="8"/>
    <x v="5"/>
    <n v="2"/>
    <n v="500"/>
    <x v="0"/>
    <x v="0"/>
    <n v="0"/>
    <x v="13"/>
    <x v="0"/>
  </r>
  <r>
    <s v="SW-216"/>
    <x v="8"/>
    <x v="11"/>
    <n v="1"/>
    <n v="160"/>
    <x v="1"/>
    <x v="2"/>
    <n v="15"/>
    <x v="8"/>
    <x v="1"/>
  </r>
  <r>
    <s v="SW-216"/>
    <x v="8"/>
    <x v="18"/>
    <n v="1"/>
    <n v="380"/>
    <x v="0"/>
    <x v="1"/>
    <n v="0"/>
    <x v="9"/>
    <x v="0"/>
  </r>
  <r>
    <s v="SW-216"/>
    <x v="8"/>
    <x v="6"/>
    <n v="2"/>
    <n v="200"/>
    <x v="1"/>
    <x v="0"/>
    <n v="0"/>
    <x v="10"/>
    <x v="0"/>
  </r>
  <r>
    <s v="SW-216"/>
    <x v="8"/>
    <x v="19"/>
    <n v="1"/>
    <n v="140"/>
    <x v="0"/>
    <x v="0"/>
    <n v="20"/>
    <x v="11"/>
    <x v="1"/>
  </r>
  <r>
    <s v="SW-216"/>
    <x v="8"/>
    <x v="20"/>
    <n v="4"/>
    <n v="100"/>
    <x v="1"/>
    <x v="2"/>
    <n v="0"/>
    <x v="12"/>
    <x v="0"/>
  </r>
  <r>
    <s v="SW-216"/>
    <x v="8"/>
    <x v="21"/>
    <n v="2"/>
    <n v="320"/>
    <x v="0"/>
    <x v="1"/>
    <n v="0"/>
    <x v="8"/>
    <x v="0"/>
  </r>
  <r>
    <s v="SW-216"/>
    <x v="8"/>
    <x v="8"/>
    <n v="1"/>
    <n v="350"/>
    <x v="1"/>
    <x v="0"/>
    <n v="25"/>
    <x v="13"/>
    <x v="1"/>
  </r>
  <r>
    <s v="SW-216"/>
    <x v="8"/>
    <x v="22"/>
    <n v="2"/>
    <n v="240"/>
    <x v="0"/>
    <x v="0"/>
    <n v="0"/>
    <x v="9"/>
    <x v="0"/>
  </r>
  <r>
    <s v="SW-216"/>
    <x v="8"/>
    <x v="23"/>
    <n v="1"/>
    <n v="300"/>
    <x v="1"/>
    <x v="1"/>
    <n v="0"/>
    <x v="10"/>
    <x v="0"/>
  </r>
  <r>
    <s v="SW-216"/>
    <x v="8"/>
    <x v="2"/>
    <n v="3"/>
    <n v="150"/>
    <x v="0"/>
    <x v="0"/>
    <n v="10"/>
    <x v="11"/>
    <x v="1"/>
  </r>
  <r>
    <s v="SW-216"/>
    <x v="8"/>
    <x v="0"/>
    <n v="2"/>
    <n v="400"/>
    <x v="1"/>
    <x v="2"/>
    <n v="0"/>
    <x v="12"/>
    <x v="0"/>
  </r>
  <r>
    <s v="SW-216"/>
    <x v="8"/>
    <x v="24"/>
    <n v="1"/>
    <n v="250"/>
    <x v="0"/>
    <x v="1"/>
    <n v="0"/>
    <x v="8"/>
    <x v="0"/>
  </r>
  <r>
    <s v="SW-216"/>
    <x v="8"/>
    <x v="12"/>
    <n v="1"/>
    <n v="150"/>
    <x v="1"/>
    <x v="0"/>
    <n v="15"/>
    <x v="13"/>
    <x v="1"/>
  </r>
  <r>
    <s v="SW-216"/>
    <x v="8"/>
    <x v="7"/>
    <n v="2"/>
    <n v="300"/>
    <x v="0"/>
    <x v="0"/>
    <n v="0"/>
    <x v="9"/>
    <x v="0"/>
  </r>
  <r>
    <s v="SW-216"/>
    <x v="8"/>
    <x v="25"/>
    <n v="3"/>
    <n v="180"/>
    <x v="1"/>
    <x v="1"/>
    <n v="0"/>
    <x v="10"/>
    <x v="0"/>
  </r>
  <r>
    <s v="SW-216"/>
    <x v="8"/>
    <x v="26"/>
    <n v="2"/>
    <n v="90"/>
    <x v="0"/>
    <x v="0"/>
    <n v="20"/>
    <x v="11"/>
    <x v="1"/>
  </r>
  <r>
    <s v="SW-216"/>
    <x v="8"/>
    <x v="27"/>
    <n v="1"/>
    <n v="320"/>
    <x v="1"/>
    <x v="2"/>
    <n v="0"/>
    <x v="12"/>
    <x v="0"/>
  </r>
  <r>
    <s v="SW-216"/>
    <x v="8"/>
    <x v="28"/>
    <n v="3"/>
    <n v="120"/>
    <x v="0"/>
    <x v="0"/>
    <n v="0"/>
    <x v="8"/>
    <x v="0"/>
  </r>
  <r>
    <s v="SW-216"/>
    <x v="8"/>
    <x v="13"/>
    <n v="1"/>
    <n v="450"/>
    <x v="1"/>
    <x v="1"/>
    <n v="10"/>
    <x v="13"/>
    <x v="1"/>
  </r>
  <r>
    <s v="SW-216"/>
    <x v="8"/>
    <x v="29"/>
    <n v="2"/>
    <n v="260"/>
    <x v="0"/>
    <x v="1"/>
    <n v="0"/>
    <x v="9"/>
    <x v="0"/>
  </r>
  <r>
    <s v="SW-216"/>
    <x v="8"/>
    <x v="30"/>
    <n v="3"/>
    <n v="300"/>
    <x v="1"/>
    <x v="2"/>
    <n v="0"/>
    <x v="10"/>
    <x v="0"/>
  </r>
  <r>
    <s v="SW-216"/>
    <x v="8"/>
    <x v="31"/>
    <n v="1"/>
    <n v="200"/>
    <x v="0"/>
    <x v="0"/>
    <n v="25"/>
    <x v="11"/>
    <x v="1"/>
  </r>
  <r>
    <s v="SW-216"/>
    <x v="8"/>
    <x v="32"/>
    <n v="2"/>
    <n v="240"/>
    <x v="1"/>
    <x v="0"/>
    <n v="0"/>
    <x v="12"/>
    <x v="0"/>
  </r>
  <r>
    <s v="SW-216"/>
    <x v="8"/>
    <x v="33"/>
    <n v="1"/>
    <n v="320"/>
    <x v="0"/>
    <x v="1"/>
    <n v="0"/>
    <x v="8"/>
    <x v="0"/>
  </r>
  <r>
    <s v="SW-216"/>
    <x v="8"/>
    <x v="2"/>
    <n v="4"/>
    <n v="200"/>
    <x v="1"/>
    <x v="0"/>
    <n v="0"/>
    <x v="13"/>
    <x v="0"/>
  </r>
  <r>
    <s v="SW-216"/>
    <x v="8"/>
    <x v="3"/>
    <n v="1"/>
    <n v="250"/>
    <x v="0"/>
    <x v="2"/>
    <n v="15"/>
    <x v="9"/>
    <x v="1"/>
  </r>
  <r>
    <s v="SW-216"/>
    <x v="8"/>
    <x v="4"/>
    <n v="2"/>
    <n v="180"/>
    <x v="1"/>
    <x v="0"/>
    <n v="0"/>
    <x v="10"/>
    <x v="0"/>
  </r>
  <r>
    <s v="SW-216"/>
    <x v="8"/>
    <x v="0"/>
    <n v="1"/>
    <n v="200"/>
    <x v="0"/>
    <x v="1"/>
    <n v="0"/>
    <x v="11"/>
    <x v="0"/>
  </r>
  <r>
    <s v="SW-216"/>
    <x v="8"/>
    <x v="5"/>
    <n v="2"/>
    <n v="500"/>
    <x v="1"/>
    <x v="0"/>
    <n v="30"/>
    <x v="12"/>
    <x v="1"/>
  </r>
  <r>
    <s v="SW-216"/>
    <x v="8"/>
    <x v="6"/>
    <n v="1"/>
    <n v="180"/>
    <x v="0"/>
    <x v="0"/>
    <n v="0"/>
    <x v="8"/>
    <x v="0"/>
  </r>
  <r>
    <s v="SW-216"/>
    <x v="8"/>
    <x v="7"/>
    <n v="3"/>
    <n v="450"/>
    <x v="1"/>
    <x v="2"/>
    <n v="0"/>
    <x v="13"/>
    <x v="0"/>
  </r>
  <r>
    <s v="SW-216"/>
    <x v="8"/>
    <x v="8"/>
    <n v="1"/>
    <n v="300"/>
    <x v="0"/>
    <x v="1"/>
    <n v="10"/>
    <x v="9"/>
    <x v="1"/>
  </r>
  <r>
    <s v="SW-216"/>
    <x v="8"/>
    <x v="9"/>
    <n v="2"/>
    <n v="260"/>
    <x v="1"/>
    <x v="1"/>
    <n v="0"/>
    <x v="10"/>
    <x v="0"/>
  </r>
  <r>
    <s v="SW-216"/>
    <x v="8"/>
    <x v="10"/>
    <n v="1"/>
    <n v="350"/>
    <x v="0"/>
    <x v="0"/>
    <n v="0"/>
    <x v="11"/>
    <x v="0"/>
  </r>
  <r>
    <s v="SW-216"/>
    <x v="8"/>
    <x v="11"/>
    <n v="3"/>
    <n v="420"/>
    <x v="1"/>
    <x v="2"/>
    <n v="20"/>
    <x v="12"/>
    <x v="1"/>
  </r>
  <r>
    <s v="SW-216"/>
    <x v="8"/>
    <x v="14"/>
    <n v="2"/>
    <n v="500"/>
    <x v="0"/>
    <x v="1"/>
    <n v="0"/>
    <x v="8"/>
    <x v="0"/>
  </r>
  <r>
    <s v="SW-216"/>
    <x v="8"/>
    <x v="15"/>
    <n v="1"/>
    <n v="220"/>
    <x v="1"/>
    <x v="0"/>
    <n v="0"/>
    <x v="13"/>
    <x v="0"/>
  </r>
  <r>
    <s v="SW-216"/>
    <x v="8"/>
    <x v="16"/>
    <n v="3"/>
    <n v="180"/>
    <x v="0"/>
    <x v="2"/>
    <n v="15"/>
    <x v="9"/>
    <x v="1"/>
  </r>
  <r>
    <s v="SW-216"/>
    <x v="8"/>
    <x v="17"/>
    <n v="1"/>
    <n v="280"/>
    <x v="1"/>
    <x v="1"/>
    <n v="0"/>
    <x v="10"/>
    <x v="0"/>
  </r>
  <r>
    <s v="SW-216"/>
    <x v="8"/>
    <x v="5"/>
    <n v="2"/>
    <n v="500"/>
    <x v="0"/>
    <x v="0"/>
    <n v="0"/>
    <x v="11"/>
    <x v="0"/>
  </r>
  <r>
    <s v="SW-216"/>
    <x v="8"/>
    <x v="11"/>
    <n v="1"/>
    <n v="160"/>
    <x v="1"/>
    <x v="2"/>
    <n v="0"/>
    <x v="12"/>
    <x v="0"/>
  </r>
  <r>
    <s v="SW-216"/>
    <x v="8"/>
    <x v="18"/>
    <n v="1"/>
    <n v="380"/>
    <x v="0"/>
    <x v="0"/>
    <n v="10"/>
    <x v="8"/>
    <x v="1"/>
  </r>
  <r>
    <s v="SW-216"/>
    <x v="8"/>
    <x v="6"/>
    <n v="2"/>
    <n v="200"/>
    <x v="1"/>
    <x v="1"/>
    <n v="0"/>
    <x v="13"/>
    <x v="0"/>
  </r>
  <r>
    <s v="SW-216"/>
    <x v="8"/>
    <x v="19"/>
    <n v="1"/>
    <n v="140"/>
    <x v="0"/>
    <x v="0"/>
    <n v="0"/>
    <x v="9"/>
    <x v="0"/>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14"/>
    <x v="1"/>
  </r>
  <r>
    <s v="SW-216"/>
    <x v="8"/>
    <x v="26"/>
    <n v="2"/>
    <n v="90"/>
    <x v="0"/>
    <x v="0"/>
    <n v="0"/>
    <x v="10"/>
    <x v="0"/>
  </r>
  <r>
    <s v="SW-216"/>
    <x v="8"/>
    <x v="27"/>
    <n v="1"/>
    <n v="320"/>
    <x v="1"/>
    <x v="2"/>
    <n v="20"/>
    <x v="11"/>
    <x v="1"/>
  </r>
  <r>
    <s v="SW-216"/>
    <x v="8"/>
    <x v="28"/>
    <n v="3"/>
    <n v="120"/>
    <x v="0"/>
    <x v="1"/>
    <n v="0"/>
    <x v="12"/>
    <x v="0"/>
  </r>
  <r>
    <s v="SW-216"/>
    <x v="8"/>
    <x v="13"/>
    <n v="1"/>
    <n v="450"/>
    <x v="1"/>
    <x v="0"/>
    <n v="15"/>
    <x v="14"/>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11"/>
    <n v="1"/>
    <n v="160"/>
    <x v="1"/>
    <x v="2"/>
    <n v="0"/>
    <x v="11"/>
    <x v="0"/>
  </r>
  <r>
    <s v="SW-216"/>
    <x v="8"/>
    <x v="18"/>
    <n v="1"/>
    <n v="380"/>
    <x v="0"/>
    <x v="0"/>
    <n v="0"/>
    <x v="12"/>
    <x v="0"/>
  </r>
  <r>
    <s v="SW-216"/>
    <x v="8"/>
    <x v="6"/>
    <n v="2"/>
    <n v="200"/>
    <x v="1"/>
    <x v="0"/>
    <n v="10"/>
    <x v="8"/>
    <x v="1"/>
  </r>
  <r>
    <s v="SW-216"/>
    <x v="8"/>
    <x v="19"/>
    <n v="1"/>
    <n v="140"/>
    <x v="0"/>
    <x v="1"/>
    <n v="0"/>
    <x v="13"/>
    <x v="0"/>
  </r>
  <r>
    <s v="SW-216"/>
    <x v="8"/>
    <x v="20"/>
    <n v="4"/>
    <n v="100"/>
    <x v="1"/>
    <x v="0"/>
    <n v="0"/>
    <x v="9"/>
    <x v="0"/>
  </r>
  <r>
    <s v="SW-216"/>
    <x v="8"/>
    <x v="17"/>
    <n v="1"/>
    <n v="280"/>
    <x v="1"/>
    <x v="0"/>
    <n v="20"/>
    <x v="8"/>
    <x v="1"/>
  </r>
  <r>
    <s v="SW-216"/>
    <x v="8"/>
    <x v="14"/>
    <n v="2"/>
    <n v="500"/>
    <x v="0"/>
    <x v="1"/>
    <n v="0"/>
    <x v="9"/>
    <x v="0"/>
  </r>
  <r>
    <s v="SW-216"/>
    <x v="8"/>
    <x v="15"/>
    <n v="1"/>
    <n v="220"/>
    <x v="1"/>
    <x v="2"/>
    <n v="0"/>
    <x v="10"/>
    <x v="0"/>
  </r>
  <r>
    <s v="SW-216"/>
    <x v="8"/>
    <x v="16"/>
    <n v="3"/>
    <n v="180"/>
    <x v="0"/>
    <x v="0"/>
    <n v="0"/>
    <x v="11"/>
    <x v="0"/>
  </r>
  <r>
    <s v="SW-216"/>
    <x v="8"/>
    <x v="17"/>
    <n v="1"/>
    <n v="280"/>
    <x v="1"/>
    <x v="1"/>
    <n v="10"/>
    <x v="12"/>
    <x v="1"/>
  </r>
  <r>
    <s v="SW-216"/>
    <x v="8"/>
    <x v="5"/>
    <n v="2"/>
    <n v="500"/>
    <x v="0"/>
    <x v="0"/>
    <n v="0"/>
    <x v="13"/>
    <x v="0"/>
  </r>
  <r>
    <s v="SW-216"/>
    <x v="8"/>
    <x v="11"/>
    <n v="1"/>
    <n v="160"/>
    <x v="1"/>
    <x v="2"/>
    <n v="15"/>
    <x v="8"/>
    <x v="1"/>
  </r>
  <r>
    <s v="SW-216"/>
    <x v="8"/>
    <x v="18"/>
    <n v="1"/>
    <n v="380"/>
    <x v="0"/>
    <x v="1"/>
    <n v="0"/>
    <x v="9"/>
    <x v="0"/>
  </r>
  <r>
    <s v="SW-216"/>
    <x v="8"/>
    <x v="6"/>
    <n v="2"/>
    <n v="200"/>
    <x v="1"/>
    <x v="0"/>
    <n v="0"/>
    <x v="10"/>
    <x v="0"/>
  </r>
  <r>
    <s v="SW-216"/>
    <x v="8"/>
    <x v="19"/>
    <n v="1"/>
    <n v="140"/>
    <x v="0"/>
    <x v="0"/>
    <n v="20"/>
    <x v="11"/>
    <x v="1"/>
  </r>
  <r>
    <s v="SW-216"/>
    <x v="8"/>
    <x v="20"/>
    <n v="4"/>
    <n v="100"/>
    <x v="1"/>
    <x v="2"/>
    <n v="0"/>
    <x v="12"/>
    <x v="0"/>
  </r>
  <r>
    <s v="SW-216"/>
    <x v="8"/>
    <x v="21"/>
    <n v="2"/>
    <n v="320"/>
    <x v="0"/>
    <x v="1"/>
    <n v="0"/>
    <x v="8"/>
    <x v="0"/>
  </r>
  <r>
    <s v="SW-216"/>
    <x v="8"/>
    <x v="8"/>
    <n v="1"/>
    <n v="350"/>
    <x v="1"/>
    <x v="0"/>
    <n v="25"/>
    <x v="13"/>
    <x v="1"/>
  </r>
  <r>
    <s v="SW-216"/>
    <x v="8"/>
    <x v="22"/>
    <n v="2"/>
    <n v="240"/>
    <x v="0"/>
    <x v="0"/>
    <n v="0"/>
    <x v="9"/>
    <x v="0"/>
  </r>
  <r>
    <s v="SW-216"/>
    <x v="8"/>
    <x v="23"/>
    <n v="1"/>
    <n v="300"/>
    <x v="1"/>
    <x v="1"/>
    <n v="0"/>
    <x v="10"/>
    <x v="0"/>
  </r>
  <r>
    <s v="SW-216"/>
    <x v="8"/>
    <x v="2"/>
    <n v="3"/>
    <n v="150"/>
    <x v="0"/>
    <x v="0"/>
    <n v="10"/>
    <x v="11"/>
    <x v="1"/>
  </r>
  <r>
    <s v="SW-216"/>
    <x v="8"/>
    <x v="0"/>
    <n v="2"/>
    <n v="400"/>
    <x v="1"/>
    <x v="2"/>
    <n v="0"/>
    <x v="12"/>
    <x v="0"/>
  </r>
  <r>
    <s v="SW-216"/>
    <x v="8"/>
    <x v="24"/>
    <n v="1"/>
    <n v="250"/>
    <x v="0"/>
    <x v="1"/>
    <n v="0"/>
    <x v="8"/>
    <x v="0"/>
  </r>
  <r>
    <s v="SW-216"/>
    <x v="8"/>
    <x v="12"/>
    <n v="1"/>
    <n v="150"/>
    <x v="1"/>
    <x v="0"/>
    <n v="15"/>
    <x v="13"/>
    <x v="1"/>
  </r>
  <r>
    <s v="SW-216"/>
    <x v="8"/>
    <x v="7"/>
    <n v="2"/>
    <n v="300"/>
    <x v="0"/>
    <x v="0"/>
    <n v="0"/>
    <x v="9"/>
    <x v="0"/>
  </r>
  <r>
    <s v="SW-216"/>
    <x v="8"/>
    <x v="25"/>
    <n v="3"/>
    <n v="180"/>
    <x v="1"/>
    <x v="1"/>
    <n v="0"/>
    <x v="10"/>
    <x v="0"/>
  </r>
  <r>
    <s v="SW-216"/>
    <x v="8"/>
    <x v="26"/>
    <n v="2"/>
    <n v="90"/>
    <x v="0"/>
    <x v="0"/>
    <n v="20"/>
    <x v="11"/>
    <x v="1"/>
  </r>
  <r>
    <s v="SW-216"/>
    <x v="8"/>
    <x v="27"/>
    <n v="1"/>
    <n v="320"/>
    <x v="1"/>
    <x v="2"/>
    <n v="0"/>
    <x v="12"/>
    <x v="0"/>
  </r>
  <r>
    <s v="SW-216"/>
    <x v="8"/>
    <x v="28"/>
    <n v="3"/>
    <n v="120"/>
    <x v="0"/>
    <x v="0"/>
    <n v="0"/>
    <x v="8"/>
    <x v="0"/>
  </r>
  <r>
    <s v="SW-216"/>
    <x v="8"/>
    <x v="13"/>
    <n v="1"/>
    <n v="450"/>
    <x v="1"/>
    <x v="1"/>
    <n v="10"/>
    <x v="13"/>
    <x v="1"/>
  </r>
  <r>
    <s v="SW-216"/>
    <x v="8"/>
    <x v="29"/>
    <n v="2"/>
    <n v="260"/>
    <x v="0"/>
    <x v="1"/>
    <n v="0"/>
    <x v="9"/>
    <x v="0"/>
  </r>
  <r>
    <s v="SW-216"/>
    <x v="8"/>
    <x v="30"/>
    <n v="3"/>
    <n v="300"/>
    <x v="1"/>
    <x v="2"/>
    <n v="0"/>
    <x v="10"/>
    <x v="0"/>
  </r>
  <r>
    <s v="SW-216"/>
    <x v="8"/>
    <x v="31"/>
    <n v="1"/>
    <n v="200"/>
    <x v="0"/>
    <x v="0"/>
    <n v="25"/>
    <x v="11"/>
    <x v="1"/>
  </r>
  <r>
    <s v="SW-216"/>
    <x v="8"/>
    <x v="32"/>
    <n v="2"/>
    <n v="240"/>
    <x v="1"/>
    <x v="0"/>
    <n v="0"/>
    <x v="12"/>
    <x v="0"/>
  </r>
  <r>
    <s v="SW-216"/>
    <x v="8"/>
    <x v="33"/>
    <n v="1"/>
    <n v="320"/>
    <x v="0"/>
    <x v="1"/>
    <n v="0"/>
    <x v="8"/>
    <x v="0"/>
  </r>
  <r>
    <s v="SW-216"/>
    <x v="8"/>
    <x v="2"/>
    <n v="4"/>
    <n v="200"/>
    <x v="1"/>
    <x v="0"/>
    <n v="0"/>
    <x v="13"/>
    <x v="0"/>
  </r>
  <r>
    <s v="SW-216"/>
    <x v="8"/>
    <x v="3"/>
    <n v="1"/>
    <n v="250"/>
    <x v="0"/>
    <x v="2"/>
    <n v="15"/>
    <x v="9"/>
    <x v="1"/>
  </r>
  <r>
    <s v="SW-216"/>
    <x v="8"/>
    <x v="4"/>
    <n v="2"/>
    <n v="180"/>
    <x v="1"/>
    <x v="0"/>
    <n v="0"/>
    <x v="10"/>
    <x v="0"/>
  </r>
  <r>
    <s v="SW-216"/>
    <x v="8"/>
    <x v="0"/>
    <n v="1"/>
    <n v="200"/>
    <x v="0"/>
    <x v="1"/>
    <n v="0"/>
    <x v="11"/>
    <x v="0"/>
  </r>
  <r>
    <s v="SW-216"/>
    <x v="8"/>
    <x v="5"/>
    <n v="2"/>
    <n v="500"/>
    <x v="1"/>
    <x v="0"/>
    <n v="30"/>
    <x v="12"/>
    <x v="1"/>
  </r>
  <r>
    <s v="SW-216"/>
    <x v="8"/>
    <x v="6"/>
    <n v="1"/>
    <n v="180"/>
    <x v="0"/>
    <x v="0"/>
    <n v="0"/>
    <x v="8"/>
    <x v="0"/>
  </r>
  <r>
    <s v="SW-216"/>
    <x v="8"/>
    <x v="7"/>
    <n v="3"/>
    <n v="450"/>
    <x v="1"/>
    <x v="2"/>
    <n v="0"/>
    <x v="13"/>
    <x v="0"/>
  </r>
  <r>
    <s v="SW-216"/>
    <x v="8"/>
    <x v="8"/>
    <n v="1"/>
    <n v="300"/>
    <x v="0"/>
    <x v="1"/>
    <n v="10"/>
    <x v="9"/>
    <x v="1"/>
  </r>
  <r>
    <s v="SW-216"/>
    <x v="8"/>
    <x v="9"/>
    <n v="2"/>
    <n v="260"/>
    <x v="1"/>
    <x v="1"/>
    <n v="0"/>
    <x v="10"/>
    <x v="0"/>
  </r>
  <r>
    <s v="SW-216"/>
    <x v="8"/>
    <x v="10"/>
    <n v="1"/>
    <n v="350"/>
    <x v="0"/>
    <x v="0"/>
    <n v="0"/>
    <x v="11"/>
    <x v="0"/>
  </r>
  <r>
    <s v="SW-216"/>
    <x v="8"/>
    <x v="11"/>
    <n v="3"/>
    <n v="420"/>
    <x v="1"/>
    <x v="2"/>
    <n v="20"/>
    <x v="12"/>
    <x v="1"/>
  </r>
  <r>
    <s v="SW-216"/>
    <x v="8"/>
    <x v="14"/>
    <n v="2"/>
    <n v="500"/>
    <x v="0"/>
    <x v="1"/>
    <n v="0"/>
    <x v="8"/>
    <x v="0"/>
  </r>
  <r>
    <s v="SW-216"/>
    <x v="8"/>
    <x v="15"/>
    <n v="1"/>
    <n v="220"/>
    <x v="1"/>
    <x v="0"/>
    <n v="0"/>
    <x v="13"/>
    <x v="0"/>
  </r>
  <r>
    <s v="SW-216"/>
    <x v="8"/>
    <x v="16"/>
    <n v="3"/>
    <n v="180"/>
    <x v="0"/>
    <x v="2"/>
    <n v="15"/>
    <x v="9"/>
    <x v="1"/>
  </r>
  <r>
    <s v="SW-216"/>
    <x v="8"/>
    <x v="17"/>
    <n v="1"/>
    <n v="280"/>
    <x v="1"/>
    <x v="1"/>
    <n v="0"/>
    <x v="10"/>
    <x v="0"/>
  </r>
  <r>
    <s v="SW-216"/>
    <x v="8"/>
    <x v="5"/>
    <n v="2"/>
    <n v="500"/>
    <x v="0"/>
    <x v="0"/>
    <n v="0"/>
    <x v="11"/>
    <x v="0"/>
  </r>
  <r>
    <s v="SW-216"/>
    <x v="8"/>
    <x v="11"/>
    <n v="1"/>
    <n v="160"/>
    <x v="1"/>
    <x v="2"/>
    <n v="0"/>
    <x v="12"/>
    <x v="0"/>
  </r>
  <r>
    <s v="SW-216"/>
    <x v="8"/>
    <x v="18"/>
    <n v="1"/>
    <n v="380"/>
    <x v="0"/>
    <x v="0"/>
    <n v="10"/>
    <x v="8"/>
    <x v="1"/>
  </r>
  <r>
    <s v="SW-216"/>
    <x v="8"/>
    <x v="6"/>
    <n v="2"/>
    <n v="200"/>
    <x v="1"/>
    <x v="1"/>
    <n v="0"/>
    <x v="13"/>
    <x v="0"/>
  </r>
  <r>
    <s v="SW-216"/>
    <x v="8"/>
    <x v="19"/>
    <n v="1"/>
    <n v="140"/>
    <x v="0"/>
    <x v="0"/>
    <n v="0"/>
    <x v="9"/>
    <x v="0"/>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9"/>
    <x v="1"/>
  </r>
  <r>
    <s v="SW-216"/>
    <x v="8"/>
    <x v="26"/>
    <n v="2"/>
    <n v="90"/>
    <x v="0"/>
    <x v="0"/>
    <n v="0"/>
    <x v="10"/>
    <x v="0"/>
  </r>
  <r>
    <s v="SW-216"/>
    <x v="8"/>
    <x v="27"/>
    <n v="1"/>
    <n v="320"/>
    <x v="1"/>
    <x v="2"/>
    <n v="20"/>
    <x v="11"/>
    <x v="1"/>
  </r>
  <r>
    <s v="SW-216"/>
    <x v="8"/>
    <x v="28"/>
    <n v="3"/>
    <n v="120"/>
    <x v="0"/>
    <x v="1"/>
    <n v="0"/>
    <x v="12"/>
    <x v="0"/>
  </r>
  <r>
    <s v="SW-216"/>
    <x v="8"/>
    <x v="13"/>
    <n v="1"/>
    <n v="450"/>
    <x v="1"/>
    <x v="0"/>
    <n v="15"/>
    <x v="8"/>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11"/>
    <n v="3"/>
    <n v="420"/>
    <x v="1"/>
    <x v="2"/>
    <n v="0"/>
    <x v="11"/>
    <x v="0"/>
  </r>
  <r>
    <s v="SW-216"/>
    <x v="8"/>
    <x v="14"/>
    <n v="2"/>
    <n v="500"/>
    <x v="0"/>
    <x v="0"/>
    <n v="0"/>
    <x v="12"/>
    <x v="0"/>
  </r>
  <r>
    <s v="SW-216"/>
    <x v="8"/>
    <x v="15"/>
    <n v="1"/>
    <n v="220"/>
    <x v="1"/>
    <x v="0"/>
    <n v="10"/>
    <x v="8"/>
    <x v="1"/>
  </r>
  <r>
    <s v="SW-216"/>
    <x v="8"/>
    <x v="16"/>
    <n v="3"/>
    <n v="180"/>
    <x v="0"/>
    <x v="2"/>
    <n v="0"/>
    <x v="13"/>
    <x v="0"/>
  </r>
  <r>
    <s v="SW-216"/>
    <x v="8"/>
    <x v="17"/>
    <n v="1"/>
    <n v="280"/>
    <x v="1"/>
    <x v="1"/>
    <n v="0"/>
    <x v="9"/>
    <x v="0"/>
  </r>
  <r>
    <s v="SW-216"/>
    <x v="8"/>
    <x v="5"/>
    <n v="2"/>
    <n v="500"/>
    <x v="0"/>
    <x v="1"/>
    <n v="15"/>
    <x v="10"/>
    <x v="1"/>
  </r>
  <r>
    <s v="SW-216"/>
    <x v="8"/>
    <x v="11"/>
    <n v="1"/>
    <n v="160"/>
    <x v="1"/>
    <x v="2"/>
    <n v="0"/>
    <x v="11"/>
    <x v="0"/>
  </r>
  <r>
    <s v="SW-216"/>
    <x v="8"/>
    <x v="18"/>
    <n v="1"/>
    <n v="380"/>
    <x v="0"/>
    <x v="0"/>
    <n v="0"/>
    <x v="12"/>
    <x v="0"/>
  </r>
  <r>
    <s v="SW-216"/>
    <x v="8"/>
    <x v="6"/>
    <n v="2"/>
    <n v="200"/>
    <x v="1"/>
    <x v="0"/>
    <n v="10"/>
    <x v="8"/>
    <x v="1"/>
  </r>
  <r>
    <s v="SW-216"/>
    <x v="8"/>
    <x v="19"/>
    <n v="1"/>
    <n v="140"/>
    <x v="0"/>
    <x v="1"/>
    <n v="0"/>
    <x v="13"/>
    <x v="0"/>
  </r>
  <r>
    <s v="SW-216"/>
    <x v="8"/>
    <x v="20"/>
    <n v="4"/>
    <n v="100"/>
    <x v="1"/>
    <x v="0"/>
    <n v="0"/>
    <x v="9"/>
    <x v="0"/>
  </r>
  <r>
    <s v="SW-216"/>
    <x v="8"/>
    <x v="17"/>
    <n v="1"/>
    <n v="280"/>
    <x v="1"/>
    <x v="0"/>
    <n v="20"/>
    <x v="8"/>
    <x v="1"/>
  </r>
  <r>
    <s v="SW-216"/>
    <x v="8"/>
    <x v="14"/>
    <n v="2"/>
    <n v="500"/>
    <x v="0"/>
    <x v="1"/>
    <n v="0"/>
    <x v="9"/>
    <x v="0"/>
  </r>
  <r>
    <s v="SW-216"/>
    <x v="8"/>
    <x v="15"/>
    <n v="1"/>
    <n v="220"/>
    <x v="1"/>
    <x v="2"/>
    <n v="0"/>
    <x v="10"/>
    <x v="0"/>
  </r>
  <r>
    <s v="SW-216"/>
    <x v="8"/>
    <x v="16"/>
    <n v="3"/>
    <n v="180"/>
    <x v="0"/>
    <x v="0"/>
    <n v="0"/>
    <x v="11"/>
    <x v="0"/>
  </r>
  <r>
    <s v="SW-216"/>
    <x v="8"/>
    <x v="17"/>
    <n v="1"/>
    <n v="280"/>
    <x v="1"/>
    <x v="1"/>
    <n v="10"/>
    <x v="12"/>
    <x v="1"/>
  </r>
  <r>
    <s v="SW-216"/>
    <x v="8"/>
    <x v="5"/>
    <n v="2"/>
    <n v="500"/>
    <x v="0"/>
    <x v="0"/>
    <n v="0"/>
    <x v="13"/>
    <x v="0"/>
  </r>
  <r>
    <s v="SW-216"/>
    <x v="8"/>
    <x v="11"/>
    <n v="1"/>
    <n v="160"/>
    <x v="1"/>
    <x v="2"/>
    <n v="15"/>
    <x v="8"/>
    <x v="1"/>
  </r>
  <r>
    <s v="SW-216"/>
    <x v="8"/>
    <x v="18"/>
    <n v="1"/>
    <n v="380"/>
    <x v="0"/>
    <x v="1"/>
    <n v="0"/>
    <x v="9"/>
    <x v="0"/>
  </r>
  <r>
    <s v="SW-216"/>
    <x v="8"/>
    <x v="6"/>
    <n v="2"/>
    <n v="200"/>
    <x v="1"/>
    <x v="0"/>
    <n v="0"/>
    <x v="10"/>
    <x v="0"/>
  </r>
  <r>
    <s v="SW-216"/>
    <x v="8"/>
    <x v="19"/>
    <n v="1"/>
    <n v="140"/>
    <x v="0"/>
    <x v="0"/>
    <n v="20"/>
    <x v="11"/>
    <x v="1"/>
  </r>
  <r>
    <s v="SW-216"/>
    <x v="8"/>
    <x v="20"/>
    <n v="4"/>
    <n v="100"/>
    <x v="1"/>
    <x v="2"/>
    <n v="0"/>
    <x v="12"/>
    <x v="0"/>
  </r>
  <r>
    <s v="SW-216"/>
    <x v="8"/>
    <x v="21"/>
    <n v="2"/>
    <n v="320"/>
    <x v="0"/>
    <x v="1"/>
    <n v="0"/>
    <x v="8"/>
    <x v="0"/>
  </r>
  <r>
    <s v="SW-216"/>
    <x v="8"/>
    <x v="8"/>
    <n v="1"/>
    <n v="350"/>
    <x v="1"/>
    <x v="0"/>
    <n v="25"/>
    <x v="13"/>
    <x v="1"/>
  </r>
  <r>
    <s v="SW-216"/>
    <x v="8"/>
    <x v="22"/>
    <n v="2"/>
    <n v="240"/>
    <x v="0"/>
    <x v="0"/>
    <n v="0"/>
    <x v="9"/>
    <x v="0"/>
  </r>
  <r>
    <s v="SW-216"/>
    <x v="8"/>
    <x v="23"/>
    <n v="1"/>
    <n v="300"/>
    <x v="1"/>
    <x v="1"/>
    <n v="0"/>
    <x v="10"/>
    <x v="0"/>
  </r>
  <r>
    <s v="SW-216"/>
    <x v="8"/>
    <x v="2"/>
    <n v="3"/>
    <n v="150"/>
    <x v="0"/>
    <x v="0"/>
    <n v="10"/>
    <x v="11"/>
    <x v="1"/>
  </r>
  <r>
    <s v="SW-216"/>
    <x v="8"/>
    <x v="0"/>
    <n v="2"/>
    <n v="400"/>
    <x v="1"/>
    <x v="2"/>
    <n v="0"/>
    <x v="12"/>
    <x v="0"/>
  </r>
  <r>
    <s v="SW-216"/>
    <x v="8"/>
    <x v="24"/>
    <n v="1"/>
    <n v="250"/>
    <x v="0"/>
    <x v="1"/>
    <n v="0"/>
    <x v="8"/>
    <x v="0"/>
  </r>
  <r>
    <s v="SW-216"/>
    <x v="8"/>
    <x v="12"/>
    <n v="1"/>
    <n v="150"/>
    <x v="1"/>
    <x v="0"/>
    <n v="15"/>
    <x v="13"/>
    <x v="1"/>
  </r>
  <r>
    <s v="SW-216"/>
    <x v="8"/>
    <x v="7"/>
    <n v="2"/>
    <n v="300"/>
    <x v="0"/>
    <x v="0"/>
    <n v="0"/>
    <x v="9"/>
    <x v="0"/>
  </r>
  <r>
    <s v="SW-216"/>
    <x v="8"/>
    <x v="25"/>
    <n v="3"/>
    <n v="180"/>
    <x v="1"/>
    <x v="1"/>
    <n v="0"/>
    <x v="10"/>
    <x v="0"/>
  </r>
  <r>
    <s v="SW-216"/>
    <x v="8"/>
    <x v="26"/>
    <n v="2"/>
    <n v="90"/>
    <x v="0"/>
    <x v="0"/>
    <n v="20"/>
    <x v="11"/>
    <x v="1"/>
  </r>
  <r>
    <s v="SW-216"/>
    <x v="8"/>
    <x v="27"/>
    <n v="1"/>
    <n v="320"/>
    <x v="1"/>
    <x v="2"/>
    <n v="0"/>
    <x v="12"/>
    <x v="0"/>
  </r>
  <r>
    <s v="SW-216"/>
    <x v="8"/>
    <x v="28"/>
    <n v="3"/>
    <n v="120"/>
    <x v="0"/>
    <x v="0"/>
    <n v="0"/>
    <x v="8"/>
    <x v="0"/>
  </r>
  <r>
    <s v="SW-216"/>
    <x v="8"/>
    <x v="13"/>
    <n v="1"/>
    <n v="450"/>
    <x v="1"/>
    <x v="1"/>
    <n v="10"/>
    <x v="13"/>
    <x v="1"/>
  </r>
  <r>
    <s v="SW-216"/>
    <x v="8"/>
    <x v="29"/>
    <n v="2"/>
    <n v="260"/>
    <x v="0"/>
    <x v="1"/>
    <n v="0"/>
    <x v="9"/>
    <x v="0"/>
  </r>
  <r>
    <s v="SW-216"/>
    <x v="8"/>
    <x v="30"/>
    <n v="3"/>
    <n v="300"/>
    <x v="1"/>
    <x v="2"/>
    <n v="0"/>
    <x v="10"/>
    <x v="0"/>
  </r>
  <r>
    <s v="SW-216"/>
    <x v="8"/>
    <x v="31"/>
    <n v="1"/>
    <n v="200"/>
    <x v="0"/>
    <x v="0"/>
    <n v="25"/>
    <x v="11"/>
    <x v="1"/>
  </r>
  <r>
    <s v="SW-216"/>
    <x v="8"/>
    <x v="32"/>
    <n v="2"/>
    <n v="240"/>
    <x v="1"/>
    <x v="0"/>
    <n v="0"/>
    <x v="12"/>
    <x v="0"/>
  </r>
  <r>
    <s v="SW-216"/>
    <x v="8"/>
    <x v="33"/>
    <n v="1"/>
    <n v="320"/>
    <x v="0"/>
    <x v="1"/>
    <n v="0"/>
    <x v="8"/>
    <x v="0"/>
  </r>
  <r>
    <s v="SW-216"/>
    <x v="8"/>
    <x v="2"/>
    <n v="4"/>
    <n v="200"/>
    <x v="1"/>
    <x v="0"/>
    <n v="0"/>
    <x v="13"/>
    <x v="0"/>
  </r>
  <r>
    <s v="SW-216"/>
    <x v="8"/>
    <x v="3"/>
    <n v="1"/>
    <n v="250"/>
    <x v="0"/>
    <x v="2"/>
    <n v="15"/>
    <x v="9"/>
    <x v="1"/>
  </r>
  <r>
    <s v="SW-216"/>
    <x v="8"/>
    <x v="4"/>
    <n v="2"/>
    <n v="180"/>
    <x v="1"/>
    <x v="0"/>
    <n v="0"/>
    <x v="10"/>
    <x v="0"/>
  </r>
  <r>
    <s v="SW-216"/>
    <x v="8"/>
    <x v="0"/>
    <n v="1"/>
    <n v="200"/>
    <x v="0"/>
    <x v="1"/>
    <n v="0"/>
    <x v="11"/>
    <x v="0"/>
  </r>
  <r>
    <s v="SW-216"/>
    <x v="8"/>
    <x v="5"/>
    <n v="2"/>
    <n v="500"/>
    <x v="1"/>
    <x v="0"/>
    <n v="30"/>
    <x v="12"/>
    <x v="1"/>
  </r>
  <r>
    <s v="SW-216"/>
    <x v="8"/>
    <x v="6"/>
    <n v="1"/>
    <n v="180"/>
    <x v="0"/>
    <x v="0"/>
    <n v="0"/>
    <x v="8"/>
    <x v="0"/>
  </r>
  <r>
    <s v="SW-216"/>
    <x v="8"/>
    <x v="7"/>
    <n v="3"/>
    <n v="450"/>
    <x v="1"/>
    <x v="2"/>
    <n v="0"/>
    <x v="13"/>
    <x v="0"/>
  </r>
  <r>
    <s v="SW-216"/>
    <x v="8"/>
    <x v="8"/>
    <n v="1"/>
    <n v="300"/>
    <x v="0"/>
    <x v="1"/>
    <n v="10"/>
    <x v="9"/>
    <x v="1"/>
  </r>
  <r>
    <s v="SW-216"/>
    <x v="8"/>
    <x v="9"/>
    <n v="2"/>
    <n v="260"/>
    <x v="1"/>
    <x v="1"/>
    <n v="0"/>
    <x v="10"/>
    <x v="0"/>
  </r>
  <r>
    <s v="SW-216"/>
    <x v="8"/>
    <x v="10"/>
    <n v="1"/>
    <n v="350"/>
    <x v="0"/>
    <x v="0"/>
    <n v="0"/>
    <x v="11"/>
    <x v="0"/>
  </r>
  <r>
    <s v="SW-216"/>
    <x v="8"/>
    <x v="11"/>
    <n v="3"/>
    <n v="420"/>
    <x v="1"/>
    <x v="2"/>
    <n v="20"/>
    <x v="12"/>
    <x v="1"/>
  </r>
  <r>
    <s v="SW-216"/>
    <x v="8"/>
    <x v="14"/>
    <n v="2"/>
    <n v="500"/>
    <x v="0"/>
    <x v="1"/>
    <n v="0"/>
    <x v="8"/>
    <x v="0"/>
  </r>
  <r>
    <s v="SW-216"/>
    <x v="8"/>
    <x v="15"/>
    <n v="1"/>
    <n v="220"/>
    <x v="1"/>
    <x v="0"/>
    <n v="0"/>
    <x v="13"/>
    <x v="0"/>
  </r>
  <r>
    <s v="SW-216"/>
    <x v="8"/>
    <x v="16"/>
    <n v="3"/>
    <n v="180"/>
    <x v="0"/>
    <x v="2"/>
    <n v="15"/>
    <x v="9"/>
    <x v="1"/>
  </r>
  <r>
    <s v="SW-216"/>
    <x v="8"/>
    <x v="17"/>
    <n v="1"/>
    <n v="280"/>
    <x v="1"/>
    <x v="1"/>
    <n v="0"/>
    <x v="10"/>
    <x v="0"/>
  </r>
  <r>
    <s v="SW-216"/>
    <x v="8"/>
    <x v="5"/>
    <n v="2"/>
    <n v="500"/>
    <x v="0"/>
    <x v="0"/>
    <n v="0"/>
    <x v="11"/>
    <x v="0"/>
  </r>
  <r>
    <s v="SW-216"/>
    <x v="8"/>
    <x v="11"/>
    <n v="1"/>
    <n v="160"/>
    <x v="1"/>
    <x v="2"/>
    <n v="0"/>
    <x v="12"/>
    <x v="0"/>
  </r>
  <r>
    <s v="SW-216"/>
    <x v="8"/>
    <x v="18"/>
    <n v="1"/>
    <n v="380"/>
    <x v="0"/>
    <x v="0"/>
    <n v="10"/>
    <x v="8"/>
    <x v="1"/>
  </r>
  <r>
    <s v="SW-216"/>
    <x v="8"/>
    <x v="6"/>
    <n v="2"/>
    <n v="200"/>
    <x v="1"/>
    <x v="1"/>
    <n v="0"/>
    <x v="13"/>
    <x v="0"/>
  </r>
  <r>
    <s v="SW-216"/>
    <x v="8"/>
    <x v="19"/>
    <n v="1"/>
    <n v="140"/>
    <x v="0"/>
    <x v="0"/>
    <n v="0"/>
    <x v="9"/>
    <x v="0"/>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14"/>
    <x v="1"/>
  </r>
  <r>
    <s v="SW-216"/>
    <x v="8"/>
    <x v="26"/>
    <n v="2"/>
    <n v="90"/>
    <x v="0"/>
    <x v="0"/>
    <n v="0"/>
    <x v="10"/>
    <x v="0"/>
  </r>
  <r>
    <s v="SW-216"/>
    <x v="8"/>
    <x v="27"/>
    <n v="1"/>
    <n v="320"/>
    <x v="1"/>
    <x v="2"/>
    <n v="20"/>
    <x v="11"/>
    <x v="1"/>
  </r>
  <r>
    <s v="SW-216"/>
    <x v="8"/>
    <x v="28"/>
    <n v="3"/>
    <n v="120"/>
    <x v="0"/>
    <x v="1"/>
    <n v="0"/>
    <x v="12"/>
    <x v="0"/>
  </r>
  <r>
    <s v="SW-216"/>
    <x v="8"/>
    <x v="13"/>
    <n v="1"/>
    <n v="450"/>
    <x v="1"/>
    <x v="0"/>
    <n v="15"/>
    <x v="14"/>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9"/>
    <n v="2"/>
    <n v="260"/>
    <x v="1"/>
    <x v="0"/>
    <n v="0"/>
    <x v="3"/>
    <x v="0"/>
  </r>
  <r>
    <s v="SW-216"/>
    <x v="8"/>
    <x v="10"/>
    <n v="1"/>
    <n v="350"/>
    <x v="0"/>
    <x v="1"/>
    <n v="0"/>
    <x v="5"/>
    <x v="0"/>
  </r>
  <r>
    <s v="SW-216"/>
    <x v="8"/>
    <x v="11"/>
    <n v="3"/>
    <n v="420"/>
    <x v="1"/>
    <x v="2"/>
    <n v="40"/>
    <x v="0"/>
    <x v="1"/>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14"/>
    <x v="1"/>
  </r>
  <r>
    <s v="SW-216"/>
    <x v="8"/>
    <x v="26"/>
    <n v="2"/>
    <n v="90"/>
    <x v="0"/>
    <x v="0"/>
    <n v="0"/>
    <x v="10"/>
    <x v="0"/>
  </r>
  <r>
    <s v="SW-216"/>
    <x v="8"/>
    <x v="27"/>
    <n v="1"/>
    <n v="320"/>
    <x v="1"/>
    <x v="2"/>
    <n v="20"/>
    <x v="11"/>
    <x v="1"/>
  </r>
  <r>
    <s v="SW-216"/>
    <x v="8"/>
    <x v="28"/>
    <n v="3"/>
    <n v="120"/>
    <x v="0"/>
    <x v="1"/>
    <n v="0"/>
    <x v="12"/>
    <x v="0"/>
  </r>
  <r>
    <s v="SW-216"/>
    <x v="8"/>
    <x v="13"/>
    <n v="1"/>
    <n v="450"/>
    <x v="1"/>
    <x v="0"/>
    <n v="15"/>
    <x v="14"/>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11"/>
    <n v="3"/>
    <n v="420"/>
    <x v="1"/>
    <x v="2"/>
    <n v="0"/>
    <x v="11"/>
    <x v="0"/>
  </r>
  <r>
    <s v="SW-216"/>
    <x v="8"/>
    <x v="14"/>
    <n v="2"/>
    <n v="500"/>
    <x v="0"/>
    <x v="0"/>
    <n v="0"/>
    <x v="12"/>
    <x v="0"/>
  </r>
  <r>
    <s v="SW-216"/>
    <x v="8"/>
    <x v="15"/>
    <n v="1"/>
    <n v="220"/>
    <x v="1"/>
    <x v="0"/>
    <n v="10"/>
    <x v="8"/>
    <x v="1"/>
  </r>
  <r>
    <s v="SW-216"/>
    <x v="8"/>
    <x v="16"/>
    <n v="3"/>
    <n v="180"/>
    <x v="0"/>
    <x v="2"/>
    <n v="0"/>
    <x v="13"/>
    <x v="0"/>
  </r>
  <r>
    <s v="SW-216"/>
    <x v="8"/>
    <x v="17"/>
    <n v="1"/>
    <n v="280"/>
    <x v="1"/>
    <x v="1"/>
    <n v="0"/>
    <x v="9"/>
    <x v="0"/>
  </r>
  <r>
    <s v="SW-216"/>
    <x v="8"/>
    <x v="5"/>
    <n v="2"/>
    <n v="500"/>
    <x v="0"/>
    <x v="1"/>
    <n v="15"/>
    <x v="10"/>
    <x v="1"/>
  </r>
  <r>
    <s v="SW-216"/>
    <x v="8"/>
    <x v="11"/>
    <n v="1"/>
    <n v="160"/>
    <x v="1"/>
    <x v="2"/>
    <n v="0"/>
    <x v="11"/>
    <x v="0"/>
  </r>
  <r>
    <s v="SW-216"/>
    <x v="8"/>
    <x v="18"/>
    <n v="1"/>
    <n v="380"/>
    <x v="0"/>
    <x v="0"/>
    <n v="0"/>
    <x v="12"/>
    <x v="0"/>
  </r>
  <r>
    <s v="SW-216"/>
    <x v="8"/>
    <x v="6"/>
    <n v="2"/>
    <n v="200"/>
    <x v="1"/>
    <x v="0"/>
    <n v="10"/>
    <x v="8"/>
    <x v="1"/>
  </r>
  <r>
    <s v="SW-216"/>
    <x v="8"/>
    <x v="19"/>
    <n v="1"/>
    <n v="140"/>
    <x v="0"/>
    <x v="1"/>
    <n v="0"/>
    <x v="13"/>
    <x v="0"/>
  </r>
  <r>
    <s v="SW-216"/>
    <x v="8"/>
    <x v="20"/>
    <n v="4"/>
    <n v="100"/>
    <x v="1"/>
    <x v="0"/>
    <n v="0"/>
    <x v="9"/>
    <x v="0"/>
  </r>
  <r>
    <s v="SW-216"/>
    <x v="8"/>
    <x v="17"/>
    <n v="1"/>
    <n v="280"/>
    <x v="1"/>
    <x v="0"/>
    <n v="20"/>
    <x v="8"/>
    <x v="1"/>
  </r>
  <r>
    <s v="SW-216"/>
    <x v="8"/>
    <x v="14"/>
    <n v="2"/>
    <n v="500"/>
    <x v="0"/>
    <x v="1"/>
    <n v="0"/>
    <x v="9"/>
    <x v="0"/>
  </r>
  <r>
    <s v="SW-216"/>
    <x v="8"/>
    <x v="15"/>
    <n v="1"/>
    <n v="220"/>
    <x v="1"/>
    <x v="2"/>
    <n v="0"/>
    <x v="10"/>
    <x v="0"/>
  </r>
  <r>
    <s v="SW-216"/>
    <x v="8"/>
    <x v="16"/>
    <n v="3"/>
    <n v="180"/>
    <x v="0"/>
    <x v="0"/>
    <n v="0"/>
    <x v="11"/>
    <x v="0"/>
  </r>
  <r>
    <s v="SW-216"/>
    <x v="8"/>
    <x v="17"/>
    <n v="1"/>
    <n v="280"/>
    <x v="1"/>
    <x v="1"/>
    <n v="10"/>
    <x v="12"/>
    <x v="1"/>
  </r>
  <r>
    <s v="SW-216"/>
    <x v="8"/>
    <x v="5"/>
    <n v="2"/>
    <n v="500"/>
    <x v="0"/>
    <x v="0"/>
    <n v="0"/>
    <x v="13"/>
    <x v="0"/>
  </r>
  <r>
    <s v="SW-216"/>
    <x v="8"/>
    <x v="11"/>
    <n v="1"/>
    <n v="160"/>
    <x v="1"/>
    <x v="2"/>
    <n v="15"/>
    <x v="8"/>
    <x v="1"/>
  </r>
  <r>
    <s v="SW-216"/>
    <x v="8"/>
    <x v="18"/>
    <n v="1"/>
    <n v="380"/>
    <x v="0"/>
    <x v="1"/>
    <n v="0"/>
    <x v="9"/>
    <x v="0"/>
  </r>
  <r>
    <s v="SW-216"/>
    <x v="8"/>
    <x v="6"/>
    <n v="2"/>
    <n v="200"/>
    <x v="1"/>
    <x v="0"/>
    <n v="0"/>
    <x v="10"/>
    <x v="0"/>
  </r>
  <r>
    <s v="SW-216"/>
    <x v="8"/>
    <x v="19"/>
    <n v="1"/>
    <n v="140"/>
    <x v="0"/>
    <x v="0"/>
    <n v="20"/>
    <x v="11"/>
    <x v="1"/>
  </r>
  <r>
    <s v="SW-216"/>
    <x v="8"/>
    <x v="20"/>
    <n v="4"/>
    <n v="100"/>
    <x v="1"/>
    <x v="2"/>
    <n v="0"/>
    <x v="12"/>
    <x v="0"/>
  </r>
  <r>
    <s v="SW-216"/>
    <x v="8"/>
    <x v="21"/>
    <n v="2"/>
    <n v="320"/>
    <x v="0"/>
    <x v="1"/>
    <n v="0"/>
    <x v="8"/>
    <x v="0"/>
  </r>
  <r>
    <s v="SW-216"/>
    <x v="8"/>
    <x v="8"/>
    <n v="1"/>
    <n v="350"/>
    <x v="1"/>
    <x v="0"/>
    <n v="25"/>
    <x v="13"/>
    <x v="1"/>
  </r>
  <r>
    <s v="SW-216"/>
    <x v="8"/>
    <x v="22"/>
    <n v="2"/>
    <n v="240"/>
    <x v="0"/>
    <x v="0"/>
    <n v="0"/>
    <x v="9"/>
    <x v="0"/>
  </r>
  <r>
    <s v="SW-216"/>
    <x v="8"/>
    <x v="23"/>
    <n v="1"/>
    <n v="300"/>
    <x v="1"/>
    <x v="1"/>
    <n v="0"/>
    <x v="10"/>
    <x v="0"/>
  </r>
  <r>
    <s v="SW-216"/>
    <x v="8"/>
    <x v="2"/>
    <n v="3"/>
    <n v="150"/>
    <x v="0"/>
    <x v="0"/>
    <n v="10"/>
    <x v="11"/>
    <x v="1"/>
  </r>
  <r>
    <s v="SW-216"/>
    <x v="8"/>
    <x v="0"/>
    <n v="2"/>
    <n v="400"/>
    <x v="1"/>
    <x v="2"/>
    <n v="0"/>
    <x v="12"/>
    <x v="0"/>
  </r>
  <r>
    <s v="SW-216"/>
    <x v="8"/>
    <x v="24"/>
    <n v="1"/>
    <n v="250"/>
    <x v="0"/>
    <x v="1"/>
    <n v="0"/>
    <x v="8"/>
    <x v="0"/>
  </r>
  <r>
    <s v="SW-216"/>
    <x v="8"/>
    <x v="12"/>
    <n v="1"/>
    <n v="150"/>
    <x v="1"/>
    <x v="0"/>
    <n v="15"/>
    <x v="13"/>
    <x v="1"/>
  </r>
  <r>
    <s v="SW-216"/>
    <x v="8"/>
    <x v="7"/>
    <n v="2"/>
    <n v="300"/>
    <x v="0"/>
    <x v="0"/>
    <n v="0"/>
    <x v="9"/>
    <x v="0"/>
  </r>
  <r>
    <s v="SW-216"/>
    <x v="8"/>
    <x v="25"/>
    <n v="3"/>
    <n v="180"/>
    <x v="1"/>
    <x v="1"/>
    <n v="0"/>
    <x v="10"/>
    <x v="0"/>
  </r>
  <r>
    <s v="SW-216"/>
    <x v="8"/>
    <x v="26"/>
    <n v="2"/>
    <n v="90"/>
    <x v="0"/>
    <x v="0"/>
    <n v="20"/>
    <x v="11"/>
    <x v="1"/>
  </r>
  <r>
    <s v="SW-216"/>
    <x v="8"/>
    <x v="27"/>
    <n v="1"/>
    <n v="320"/>
    <x v="1"/>
    <x v="2"/>
    <n v="0"/>
    <x v="12"/>
    <x v="0"/>
  </r>
  <r>
    <s v="SW-216"/>
    <x v="8"/>
    <x v="28"/>
    <n v="3"/>
    <n v="120"/>
    <x v="0"/>
    <x v="0"/>
    <n v="0"/>
    <x v="8"/>
    <x v="0"/>
  </r>
  <r>
    <s v="SW-216"/>
    <x v="8"/>
    <x v="13"/>
    <n v="1"/>
    <n v="450"/>
    <x v="1"/>
    <x v="1"/>
    <n v="10"/>
    <x v="13"/>
    <x v="1"/>
  </r>
  <r>
    <s v="SW-216"/>
    <x v="8"/>
    <x v="29"/>
    <n v="2"/>
    <n v="260"/>
    <x v="0"/>
    <x v="1"/>
    <n v="0"/>
    <x v="9"/>
    <x v="0"/>
  </r>
  <r>
    <s v="SW-216"/>
    <x v="8"/>
    <x v="30"/>
    <n v="3"/>
    <n v="300"/>
    <x v="1"/>
    <x v="2"/>
    <n v="0"/>
    <x v="10"/>
    <x v="0"/>
  </r>
  <r>
    <s v="SW-216"/>
    <x v="8"/>
    <x v="31"/>
    <n v="1"/>
    <n v="200"/>
    <x v="0"/>
    <x v="0"/>
    <n v="25"/>
    <x v="11"/>
    <x v="1"/>
  </r>
  <r>
    <s v="SW-216"/>
    <x v="8"/>
    <x v="32"/>
    <n v="2"/>
    <n v="240"/>
    <x v="1"/>
    <x v="0"/>
    <n v="0"/>
    <x v="12"/>
    <x v="0"/>
  </r>
  <r>
    <s v="SW-216"/>
    <x v="8"/>
    <x v="33"/>
    <n v="1"/>
    <n v="320"/>
    <x v="0"/>
    <x v="1"/>
    <n v="0"/>
    <x v="8"/>
    <x v="0"/>
  </r>
  <r>
    <s v="SW-216"/>
    <x v="8"/>
    <x v="2"/>
    <n v="4"/>
    <n v="200"/>
    <x v="1"/>
    <x v="0"/>
    <n v="0"/>
    <x v="13"/>
    <x v="0"/>
  </r>
  <r>
    <s v="SW-216"/>
    <x v="8"/>
    <x v="3"/>
    <n v="1"/>
    <n v="250"/>
    <x v="0"/>
    <x v="2"/>
    <n v="15"/>
    <x v="9"/>
    <x v="1"/>
  </r>
  <r>
    <s v="SW-216"/>
    <x v="8"/>
    <x v="4"/>
    <n v="2"/>
    <n v="180"/>
    <x v="1"/>
    <x v="0"/>
    <n v="0"/>
    <x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AA15D-E079-41B0-9B1A-60CC229270C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C38" firstHeaderRow="0"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axis="axisRow" showAll="0" sortType="descending">
      <items count="35">
        <item x="14"/>
        <item x="2"/>
        <item x="22"/>
        <item x="9"/>
        <item x="5"/>
        <item x="24"/>
        <item x="1"/>
        <item x="32"/>
        <item x="6"/>
        <item x="12"/>
        <item x="29"/>
        <item x="8"/>
        <item x="4"/>
        <item x="16"/>
        <item x="25"/>
        <item x="19"/>
        <item x="17"/>
        <item x="33"/>
        <item x="28"/>
        <item x="21"/>
        <item x="7"/>
        <item x="10"/>
        <item x="18"/>
        <item x="13"/>
        <item x="3"/>
        <item x="23"/>
        <item x="26"/>
        <item x="27"/>
        <item x="20"/>
        <item x="0"/>
        <item x="15"/>
        <item x="31"/>
        <item x="11"/>
        <item x="3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5">
    <i>
      <x v="4"/>
    </i>
    <i>
      <x/>
    </i>
    <i>
      <x v="23"/>
    </i>
    <i>
      <x v="20"/>
    </i>
    <i>
      <x v="32"/>
    </i>
    <i>
      <x v="22"/>
    </i>
    <i>
      <x v="29"/>
    </i>
    <i>
      <x v="11"/>
    </i>
    <i>
      <x v="16"/>
    </i>
    <i>
      <x v="8"/>
    </i>
    <i>
      <x v="21"/>
    </i>
    <i>
      <x v="30"/>
    </i>
    <i>
      <x v="1"/>
    </i>
    <i>
      <x v="17"/>
    </i>
    <i>
      <x v="27"/>
    </i>
    <i>
      <x v="19"/>
    </i>
    <i>
      <x v="13"/>
    </i>
    <i>
      <x v="25"/>
    </i>
    <i>
      <x v="9"/>
    </i>
    <i>
      <x v="3"/>
    </i>
    <i>
      <x v="33"/>
    </i>
    <i>
      <x v="24"/>
    </i>
    <i>
      <x v="5"/>
    </i>
    <i>
      <x v="15"/>
    </i>
    <i>
      <x v="2"/>
    </i>
    <i>
      <x v="10"/>
    </i>
    <i>
      <x v="7"/>
    </i>
    <i>
      <x v="12"/>
    </i>
    <i>
      <x v="31"/>
    </i>
    <i>
      <x v="14"/>
    </i>
    <i>
      <x v="28"/>
    </i>
    <i>
      <x v="18"/>
    </i>
    <i>
      <x v="26"/>
    </i>
    <i>
      <x v="6"/>
    </i>
    <i t="grand">
      <x/>
    </i>
  </rowItems>
  <colFields count="1">
    <field x="-2"/>
  </colFields>
  <colItems count="2">
    <i>
      <x/>
    </i>
    <i i="1">
      <x v="1"/>
    </i>
  </colItems>
  <dataFields count="2">
    <dataField name="Total_Sales" fld="4" baseField="2" baseItem="4" numFmtId="44"/>
    <dataField name="Percentage" fld="4" showDataAs="percentOfTotal" baseField="2" baseItem="4" numFmtId="10"/>
  </dataFields>
  <formats count="6">
    <format dxfId="514">
      <pivotArea collapsedLevelsAreSubtotals="1" fieldPosition="0">
        <references count="1">
          <reference field="2" count="7">
            <x v="0"/>
            <x v="4"/>
            <x v="20"/>
            <x v="22"/>
            <x v="23"/>
            <x v="29"/>
            <x v="32"/>
          </reference>
        </references>
      </pivotArea>
    </format>
    <format dxfId="513">
      <pivotArea dataOnly="0" labelOnly="1" fieldPosition="0">
        <references count="1">
          <reference field="2" count="7">
            <x v="0"/>
            <x v="4"/>
            <x v="20"/>
            <x v="22"/>
            <x v="23"/>
            <x v="29"/>
            <x v="32"/>
          </reference>
        </references>
      </pivotArea>
    </format>
    <format dxfId="512">
      <pivotArea collapsedLevelsAreSubtotals="1" fieldPosition="0">
        <references count="1">
          <reference field="2" count="7">
            <x v="0"/>
            <x v="4"/>
            <x v="20"/>
            <x v="22"/>
            <x v="23"/>
            <x v="29"/>
            <x v="32"/>
          </reference>
        </references>
      </pivotArea>
    </format>
    <format dxfId="511">
      <pivotArea dataOnly="0" labelOnly="1" fieldPosition="0">
        <references count="1">
          <reference field="2" count="7">
            <x v="0"/>
            <x v="4"/>
            <x v="20"/>
            <x v="22"/>
            <x v="23"/>
            <x v="29"/>
            <x v="32"/>
          </reference>
        </references>
      </pivotArea>
    </format>
    <format dxfId="510">
      <pivotArea outline="0" collapsedLevelsAreSubtotals="1" fieldPosition="0"/>
    </format>
    <format dxfId="50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C34AB4-32A7-4930-9D35-E65580F3586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I30:J38" firstHeaderRow="1"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axis="axisRow" showAll="0" measureFilter="1" sortType="descending">
      <items count="35">
        <item x="14"/>
        <item x="2"/>
        <item x="22"/>
        <item x="9"/>
        <item x="5"/>
        <item x="24"/>
        <item x="1"/>
        <item x="32"/>
        <item x="6"/>
        <item x="12"/>
        <item x="29"/>
        <item x="8"/>
        <item x="4"/>
        <item x="16"/>
        <item x="25"/>
        <item x="19"/>
        <item x="17"/>
        <item x="33"/>
        <item x="28"/>
        <item x="21"/>
        <item x="7"/>
        <item x="10"/>
        <item x="18"/>
        <item x="13"/>
        <item x="3"/>
        <item x="23"/>
        <item x="26"/>
        <item x="27"/>
        <item x="20"/>
        <item x="0"/>
        <item x="15"/>
        <item x="31"/>
        <item x="11"/>
        <item x="3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v="4"/>
    </i>
    <i>
      <x/>
    </i>
    <i>
      <x v="23"/>
    </i>
    <i>
      <x v="20"/>
    </i>
    <i>
      <x v="32"/>
    </i>
    <i>
      <x v="22"/>
    </i>
    <i>
      <x v="29"/>
    </i>
    <i t="grand">
      <x/>
    </i>
  </rowItems>
  <colItems count="1">
    <i/>
  </colItems>
  <dataFields count="1">
    <dataField name="Total_Sales" fld="4" baseField="2" baseItem="4" numFmtId="44"/>
  </dataFields>
  <formats count="5">
    <format dxfId="519">
      <pivotArea collapsedLevelsAreSubtotals="1" fieldPosition="0">
        <references count="1">
          <reference field="2" count="7">
            <x v="0"/>
            <x v="4"/>
            <x v="20"/>
            <x v="22"/>
            <x v="23"/>
            <x v="29"/>
            <x v="32"/>
          </reference>
        </references>
      </pivotArea>
    </format>
    <format dxfId="518">
      <pivotArea dataOnly="0" labelOnly="1" fieldPosition="0">
        <references count="1">
          <reference field="2" count="7">
            <x v="0"/>
            <x v="4"/>
            <x v="20"/>
            <x v="22"/>
            <x v="23"/>
            <x v="29"/>
            <x v="32"/>
          </reference>
        </references>
      </pivotArea>
    </format>
    <format dxfId="517">
      <pivotArea outline="0" collapsedLevelsAreSubtotals="1" fieldPosition="0"/>
    </format>
    <format dxfId="516">
      <pivotArea collapsedLevelsAreSubtotals="1" fieldPosition="0">
        <references count="1">
          <reference field="2" count="7">
            <x v="0"/>
            <x v="4"/>
            <x v="20"/>
            <x v="22"/>
            <x v="23"/>
            <x v="29"/>
            <x v="32"/>
          </reference>
        </references>
      </pivotArea>
    </format>
    <format dxfId="515">
      <pivotArea dataOnly="0" labelOnly="1" fieldPosition="0">
        <references count="1">
          <reference field="2" count="7">
            <x v="0"/>
            <x v="4"/>
            <x v="20"/>
            <x v="22"/>
            <x v="23"/>
            <x v="29"/>
            <x v="32"/>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5172C-E53F-4F9D-B890-0331CF6CEF9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6" firstHeaderRow="0"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dataField="1" showAll="0"/>
    <pivotField axis="axisRow" showAll="0">
      <items count="3">
        <item x="1"/>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Fields count="1">
    <field x="-2"/>
  </colFields>
  <colItems count="2">
    <i>
      <x/>
    </i>
    <i i="1">
      <x v="1"/>
    </i>
  </colItems>
  <dataFields count="2">
    <dataField name="Total_Sales" fld="4" baseField="5" baseItem="0" numFmtId="44"/>
    <dataField name="Share in Sales" fld="4" showDataAs="percentOfTotal" baseField="0" baseItem="0" numFmtId="10"/>
  </dataFields>
  <formats count="1">
    <format dxfId="508">
      <pivotArea outline="0" collapsedLevelsAreSubtotals="1" fieldPosition="0">
        <references count="1">
          <reference field="4294967294" count="1" selected="0">
            <x v="0"/>
          </reference>
        </references>
      </pivotArea>
    </format>
  </formats>
  <chartFormats count="6">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0"/>
          </reference>
        </references>
      </pivotArea>
    </chartFormat>
    <chartFormat chart="4" format="12">
      <pivotArea type="data" outline="0" fieldPosition="0">
        <references count="2">
          <reference field="4294967294" count="1" selected="0">
            <x v="0"/>
          </reference>
          <reference field="5" count="1" selected="0">
            <x v="1"/>
          </reference>
        </references>
      </pivotArea>
    </chartFormat>
    <chartFormat chart="4" format="13" series="1">
      <pivotArea type="data" outline="0" fieldPosition="0">
        <references count="1">
          <reference field="4294967294" count="1" selected="0">
            <x v="1"/>
          </reference>
        </references>
      </pivotArea>
    </chartFormat>
    <chartFormat chart="4" format="14">
      <pivotArea type="data" outline="0" fieldPosition="0">
        <references count="2">
          <reference field="4294967294" count="1" selected="0">
            <x v="1"/>
          </reference>
          <reference field="5" count="1" selected="0">
            <x v="0"/>
          </reference>
        </references>
      </pivotArea>
    </chartFormat>
    <chartFormat chart="4" format="1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303677-9C9E-49A0-B7DD-FD73B02A0BE0}"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7:D22"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axis="axisCol" showAll="0">
      <items count="3">
        <item x="1"/>
        <item x="0"/>
        <item t="default"/>
      </items>
    </pivotField>
    <pivotField axis="axisRow" showAll="0">
      <items count="4">
        <item x="2"/>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5"/>
  </colFields>
  <colItems count="3">
    <i>
      <x/>
    </i>
    <i>
      <x v="1"/>
    </i>
    <i t="grand">
      <x/>
    </i>
  </colItems>
  <dataFields count="1">
    <dataField name="Orders" fld="0" subtotal="count" showDataAs="percentOfCo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F31322-9DF2-49A6-AFCE-04503169477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D14"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axis="axisCol" showAll="0">
      <items count="3">
        <item x="1"/>
        <item x="0"/>
        <item t="default"/>
      </items>
    </pivotField>
    <pivotField axis="axisRow" showAll="0">
      <items count="4">
        <item x="2"/>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5"/>
  </colFields>
  <colItems count="3">
    <i>
      <x/>
    </i>
    <i>
      <x v="1"/>
    </i>
    <i t="grand">
      <x/>
    </i>
  </colItems>
  <dataFields count="1">
    <dataField name="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074571-3BBE-4EF9-8F62-B4B4C1DC999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8"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Row" showAll="0">
      <items count="4">
        <item x="2"/>
        <item x="1"/>
        <item x="0"/>
        <item t="default"/>
      </items>
    </pivotField>
    <pivotField showAll="0"/>
    <pivotField showAll="0"/>
    <pivotField axis="axisCol"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9"/>
  </colFields>
  <colItems count="3">
    <i>
      <x/>
    </i>
    <i>
      <x v="1"/>
    </i>
    <i t="grand">
      <x/>
    </i>
  </colItems>
  <dataFields count="1">
    <dataField name="Orders" fld="0" subtotal="count" baseField="0" baseItem="0"/>
  </dataFields>
  <chartFormats count="3">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CB72F3-289A-4C8E-92E9-A63743A3A80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I8"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Row" showAll="0">
      <items count="4">
        <item x="2"/>
        <item x="1"/>
        <item x="0"/>
        <item t="default"/>
      </items>
    </pivotField>
    <pivotField showAll="0"/>
    <pivotField showAll="0"/>
    <pivotField axis="axisCol"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9"/>
  </colFields>
  <colItems count="3">
    <i>
      <x/>
    </i>
    <i>
      <x v="1"/>
    </i>
    <i t="grand">
      <x/>
    </i>
  </colItems>
  <dataFields count="1">
    <dataField name="Orders" fld="0" subtotal="count" showDataAs="percentOfCo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1F85DD-1FE0-4E88-9853-D9591041869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44:I50" firstHeaderRow="1"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dataField="1" showAll="0"/>
    <pivotField showAll="0">
      <items count="3">
        <item x="1"/>
        <item x="0"/>
        <item t="default"/>
      </items>
    </pivotField>
    <pivotField showAll="0"/>
    <pivotField showAll="0"/>
    <pivotField axis="axisRow" showAll="0" measureFilter="1" sortType="descending">
      <items count="17">
        <item m="1" x="15"/>
        <item x="0"/>
        <item x="9"/>
        <item x="3"/>
        <item x="11"/>
        <item x="2"/>
        <item x="4"/>
        <item x="13"/>
        <item x="8"/>
        <item x="10"/>
        <item x="6"/>
        <item x="5"/>
        <item x="1"/>
        <item x="12"/>
        <item x="7"/>
        <item x="14"/>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v="8"/>
    </i>
    <i>
      <x v="13"/>
    </i>
    <i>
      <x v="2"/>
    </i>
    <i>
      <x v="7"/>
    </i>
    <i>
      <x v="4"/>
    </i>
    <i t="grand">
      <x/>
    </i>
  </rowItems>
  <colItems count="1">
    <i/>
  </colItems>
  <dataFields count="1">
    <dataField name="Total_Sales" fld="4" baseField="8" baseItem="8" numFmtId="44"/>
  </dataFields>
  <formats count="1">
    <format dxfId="49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3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21B994-16AD-4DFB-B7ED-21FDF273D51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4:E41"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Col" showAll="0">
      <items count="4">
        <item x="2"/>
        <item x="1"/>
        <item x="0"/>
        <item t="default"/>
      </items>
    </pivotField>
    <pivotField showAll="0"/>
    <pivotField axis="axisRow" showAll="0" sortType="descending">
      <items count="17">
        <item m="1" x="15"/>
        <item x="0"/>
        <item x="9"/>
        <item x="3"/>
        <item x="11"/>
        <item x="2"/>
        <item x="4"/>
        <item x="14"/>
        <item x="13"/>
        <item x="8"/>
        <item x="10"/>
        <item x="6"/>
        <item x="5"/>
        <item x="1"/>
        <item x="12"/>
        <item x="7"/>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6">
    <i>
      <x v="14"/>
    </i>
    <i>
      <x v="4"/>
    </i>
    <i>
      <x v="2"/>
    </i>
    <i>
      <x v="8"/>
    </i>
    <i>
      <x v="9"/>
    </i>
    <i>
      <x v="10"/>
    </i>
    <i>
      <x v="1"/>
    </i>
    <i>
      <x v="5"/>
    </i>
    <i>
      <x v="12"/>
    </i>
    <i>
      <x v="3"/>
    </i>
    <i>
      <x v="13"/>
    </i>
    <i>
      <x v="15"/>
    </i>
    <i>
      <x v="6"/>
    </i>
    <i>
      <x v="7"/>
    </i>
    <i>
      <x v="11"/>
    </i>
    <i t="grand">
      <x/>
    </i>
  </rowItems>
  <colFields count="1">
    <field x="6"/>
  </colFields>
  <colItems count="4">
    <i>
      <x/>
    </i>
    <i>
      <x v="1"/>
    </i>
    <i>
      <x v="2"/>
    </i>
    <i t="grand">
      <x/>
    </i>
  </colItems>
  <dataFields count="1">
    <dataField name="Orders" fld="0" subtotal="count" baseField="0" baseItem="0"/>
  </dataFields>
  <formats count="2">
    <format dxfId="499">
      <pivotArea collapsedLevelsAreSubtotals="1" fieldPosition="0">
        <references count="2">
          <reference field="6" count="1" selected="0">
            <x v="0"/>
          </reference>
          <reference field="8" count="4">
            <x v="2"/>
            <x v="4"/>
            <x v="8"/>
            <x v="14"/>
          </reference>
        </references>
      </pivotArea>
    </format>
    <format dxfId="498">
      <pivotArea collapsedLevelsAreSubtotals="1" fieldPosition="0">
        <references count="2">
          <reference field="6" count="1" selected="0">
            <x v="0"/>
          </reference>
          <reference field="8"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1B6990-EC79-4CB9-87C4-9CD67168C45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L44:P52"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Col" showAll="0">
      <items count="4">
        <item x="2"/>
        <item x="1"/>
        <item x="0"/>
        <item t="default"/>
      </items>
    </pivotField>
    <pivotField showAll="0"/>
    <pivotField axis="axisRow" showAll="0" measureFilter="1" sortType="descending">
      <items count="17">
        <item m="1" x="15"/>
        <item x="0"/>
        <item x="9"/>
        <item x="3"/>
        <item x="11"/>
        <item x="2"/>
        <item x="4"/>
        <item x="14"/>
        <item x="13"/>
        <item x="8"/>
        <item x="10"/>
        <item x="6"/>
        <item x="5"/>
        <item x="1"/>
        <item x="12"/>
        <item x="7"/>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v="14"/>
    </i>
    <i>
      <x v="4"/>
    </i>
    <i>
      <x v="2"/>
    </i>
    <i>
      <x v="8"/>
    </i>
    <i>
      <x v="9"/>
    </i>
    <i>
      <x v="10"/>
    </i>
    <i t="grand">
      <x/>
    </i>
  </rowItems>
  <colFields count="1">
    <field x="6"/>
  </colFields>
  <colItems count="4">
    <i>
      <x/>
    </i>
    <i>
      <x v="1"/>
    </i>
    <i>
      <x v="2"/>
    </i>
    <i t="grand">
      <x/>
    </i>
  </colItems>
  <dataFields count="1">
    <dataField name="Orders" fld="0" subtotal="count" baseField="0" baseItem="0"/>
  </dataFields>
  <formats count="2">
    <format dxfId="501">
      <pivotArea collapsedLevelsAreSubtotals="1" fieldPosition="0">
        <references count="2">
          <reference field="6" count="1" selected="0">
            <x v="0"/>
          </reference>
          <reference field="8" count="4">
            <x v="2"/>
            <x v="4"/>
            <x v="8"/>
            <x v="14"/>
          </reference>
        </references>
      </pivotArea>
    </format>
    <format dxfId="500">
      <pivotArea collapsedLevelsAreSubtotals="1" fieldPosition="0">
        <references count="2">
          <reference field="6" count="1" selected="0">
            <x v="0"/>
          </reference>
          <reference field="8" count="1">
            <x v="9"/>
          </reference>
        </references>
      </pivotArea>
    </format>
  </formats>
  <chartFormats count="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0"/>
          </reference>
        </references>
      </pivotArea>
    </chartFormat>
    <chartFormat chart="2" format="4" series="1">
      <pivotArea type="data" outline="0" fieldPosition="0">
        <references count="2">
          <reference field="4294967294" count="1" selected="0">
            <x v="0"/>
          </reference>
          <reference field="6" count="1" selected="0">
            <x v="1"/>
          </reference>
        </references>
      </pivotArea>
    </chartFormat>
    <chartFormat chart="2" format="5"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78765F-2E50-41B6-AB64-C6BAFAFD03C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9" firstHeaderRow="1"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dataField="1" showAll="0"/>
    <pivotField showAll="0">
      <items count="3">
        <item x="1"/>
        <item x="0"/>
        <item t="default"/>
      </items>
    </pivotField>
    <pivotField showAll="0"/>
    <pivotField showAll="0"/>
    <pivotField axis="axisRow" showAll="0" sortType="descending">
      <items count="17">
        <item m="1" x="15"/>
        <item x="0"/>
        <item x="9"/>
        <item x="3"/>
        <item x="11"/>
        <item x="2"/>
        <item x="4"/>
        <item x="13"/>
        <item x="8"/>
        <item x="10"/>
        <item x="6"/>
        <item x="5"/>
        <item x="1"/>
        <item x="12"/>
        <item x="7"/>
        <item x="14"/>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6">
    <i>
      <x v="8"/>
    </i>
    <i>
      <x v="13"/>
    </i>
    <i>
      <x v="2"/>
    </i>
    <i>
      <x v="7"/>
    </i>
    <i>
      <x v="4"/>
    </i>
    <i>
      <x v="9"/>
    </i>
    <i>
      <x v="14"/>
    </i>
    <i>
      <x v="15"/>
    </i>
    <i>
      <x v="1"/>
    </i>
    <i>
      <x v="10"/>
    </i>
    <i>
      <x v="11"/>
    </i>
    <i>
      <x v="3"/>
    </i>
    <i>
      <x v="5"/>
    </i>
    <i>
      <x v="12"/>
    </i>
    <i>
      <x v="6"/>
    </i>
    <i t="grand">
      <x/>
    </i>
  </rowItems>
  <colItems count="1">
    <i/>
  </colItems>
  <dataFields count="1">
    <dataField name="Total_Sales" fld="4" baseField="8" baseItem="8" numFmtId="44"/>
  </dataFields>
  <formats count="3">
    <format dxfId="504">
      <pivotArea outline="0" collapsedLevelsAreSubtotals="1" fieldPosition="0"/>
    </format>
    <format dxfId="503">
      <pivotArea collapsedLevelsAreSubtotals="1" fieldPosition="0">
        <references count="1">
          <reference field="8" count="5">
            <x v="2"/>
            <x v="4"/>
            <x v="7"/>
            <x v="8"/>
            <x v="13"/>
          </reference>
        </references>
      </pivotArea>
    </format>
    <format dxfId="502">
      <pivotArea dataOnly="0" labelOnly="1" fieldPosition="0">
        <references count="1">
          <reference field="8" count="5">
            <x v="2"/>
            <x v="4"/>
            <x v="7"/>
            <x v="8"/>
            <x v="13"/>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B2A651-C72E-439B-8E36-9E5535A7E35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4:E61"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Col" showAll="0">
      <items count="4">
        <item x="2"/>
        <item x="1"/>
        <item x="0"/>
        <item t="default"/>
      </items>
    </pivotField>
    <pivotField showAll="0"/>
    <pivotField axis="axisRow" showAll="0" sortType="descending">
      <items count="17">
        <item m="1" x="15"/>
        <item x="0"/>
        <item x="9"/>
        <item x="3"/>
        <item x="11"/>
        <item x="2"/>
        <item x="4"/>
        <item x="14"/>
        <item x="13"/>
        <item x="8"/>
        <item x="10"/>
        <item x="6"/>
        <item x="5"/>
        <item x="1"/>
        <item x="12"/>
        <item x="7"/>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6">
    <i>
      <x v="14"/>
    </i>
    <i>
      <x v="4"/>
    </i>
    <i>
      <x v="2"/>
    </i>
    <i>
      <x v="8"/>
    </i>
    <i>
      <x v="9"/>
    </i>
    <i>
      <x v="10"/>
    </i>
    <i>
      <x v="1"/>
    </i>
    <i>
      <x v="5"/>
    </i>
    <i>
      <x v="12"/>
    </i>
    <i>
      <x v="3"/>
    </i>
    <i>
      <x v="13"/>
    </i>
    <i>
      <x v="15"/>
    </i>
    <i>
      <x v="6"/>
    </i>
    <i>
      <x v="7"/>
    </i>
    <i>
      <x v="11"/>
    </i>
    <i t="grand">
      <x/>
    </i>
  </rowItems>
  <colFields count="1">
    <field x="6"/>
  </colFields>
  <colItems count="4">
    <i>
      <x/>
    </i>
    <i>
      <x v="1"/>
    </i>
    <i>
      <x v="2"/>
    </i>
    <i t="grand">
      <x/>
    </i>
  </colItems>
  <dataFields count="1">
    <dataField name="Orders" fld="0" subtotal="count" showDataAs="percentOfRow" baseField="8" baseItem="14" numFmtId="10"/>
  </dataFields>
  <formats count="3">
    <format dxfId="507">
      <pivotArea collapsedLevelsAreSubtotals="1" fieldPosition="0">
        <references count="2">
          <reference field="6" count="1" selected="0">
            <x v="0"/>
          </reference>
          <reference field="8" count="4">
            <x v="2"/>
            <x v="4"/>
            <x v="8"/>
            <x v="14"/>
          </reference>
        </references>
      </pivotArea>
    </format>
    <format dxfId="506">
      <pivotArea outline="0" fieldPosition="0">
        <references count="1">
          <reference field="4294967294" count="1">
            <x v="0"/>
          </reference>
        </references>
      </pivotArea>
    </format>
    <format dxfId="505">
      <pivotArea collapsedLevelsAreSubtotals="1" fieldPosition="0">
        <references count="2">
          <reference field="6" count="1" selected="0">
            <x v="0"/>
          </reference>
          <reference field="8"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DB91A6-5C9C-470A-9A30-D48DAE3B127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12">
    <pivotField showAll="0"/>
    <pivotField axis="axisRow"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dataField="1" showAll="0"/>
    <pivotField showAll="0">
      <items count="3">
        <item x="1"/>
        <item x="0"/>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h="1"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4">
    <i>
      <x v="4"/>
    </i>
    <i>
      <x v="5"/>
    </i>
    <i>
      <x v="6"/>
    </i>
    <i t="grand">
      <x/>
    </i>
  </rowItems>
  <colItems count="1">
    <i/>
  </colItems>
  <dataFields count="1">
    <dataField name="Total_Sales" fld="4" baseField="11" baseItem="4" numFmtId="44"/>
  </dataFields>
  <formats count="7">
    <format dxfId="496">
      <pivotArea type="all" dataOnly="0" outline="0" fieldPosition="0"/>
    </format>
    <format dxfId="495">
      <pivotArea outline="0" collapsedLevelsAreSubtotals="1" fieldPosition="0"/>
    </format>
    <format dxfId="494">
      <pivotArea field="11" type="button" dataOnly="0" labelOnly="1" outline="0" axis="axisRow" fieldPosition="0"/>
    </format>
    <format dxfId="493">
      <pivotArea dataOnly="0" labelOnly="1" fieldPosition="0">
        <references count="1">
          <reference field="11" count="3">
            <x v="4"/>
            <x v="5"/>
            <x v="6"/>
          </reference>
        </references>
      </pivotArea>
    </format>
    <format dxfId="492">
      <pivotArea dataOnly="0" labelOnly="1" grandRow="1" outline="0" fieldPosition="0"/>
    </format>
    <format dxfId="491">
      <pivotArea dataOnly="0" labelOnly="1" outline="0" axis="axisValues" fieldPosition="0"/>
    </format>
    <format dxfId="490">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E6F45B-768B-4D16-BDE7-68CBDA89EDF0}" autoFormatId="16" applyNumberFormats="0" applyBorderFormats="0" applyFontFormats="0" applyPatternFormats="0" applyAlignmentFormats="0" applyWidthHeightFormats="0">
  <queryTableRefresh nextId="11" unboundColumnsRight="1">
    <queryTableFields count="10">
      <queryTableField id="1" name="Order_ID" tableColumnId="1"/>
      <queryTableField id="2" name="Date" tableColumnId="2"/>
      <queryTableField id="3" name="Item_Name" tableColumnId="3"/>
      <queryTableField id="4" name="Quantity" tableColumnId="4"/>
      <queryTableField id="5" name="Total_Price" tableColumnId="5"/>
      <queryTableField id="6" name="Customer_Type" tableColumnId="6"/>
      <queryTableField id="7" name="Feedback" tableColumnId="7"/>
      <queryTableField id="8" name="Discount_applied" tableColumnId="8"/>
      <queryTableField id="9" name="Delivery Location"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2C59E29-448D-44AB-873D-9E0D6EB550CF}" sourceName="Customer_Type">
  <pivotTables>
    <pivotTable tabId="13" name="PivotTable2"/>
    <pivotTable tabId="13" name="PivotTable10"/>
    <pivotTable tabId="13" name="PivotTable3"/>
    <pivotTable tabId="14" name="PivotTable4"/>
    <pivotTable tabId="14" name="PivotTable5"/>
    <pivotTable tabId="15" name="PivotTable3"/>
    <pivotTable tabId="15" name="PivotTable6"/>
    <pivotTable tabId="15" name="PivotTable7"/>
    <pivotTable tabId="15" name="PivotTable9"/>
    <pivotTable tabId="12" name="PivotTable1"/>
    <pivotTable tabId="12" name="PivotTable2"/>
    <pivotTable tabId="16" name="PivotTable8"/>
    <pivotTable tabId="15" name="PivotTable4"/>
  </pivotTables>
  <data>
    <tabular pivotCacheId="10089939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E10B213E-50EB-4AAF-B732-BE40CF92CCF6}" cache="Slicer_Customer_Type" caption="Customer_Type"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72CAFE-426C-4C9C-A18A-38CE3259D4F0}" name="Table3_1" displayName="Table3_1" ref="A1:J580" tableType="queryTable" totalsRowShown="0">
  <autoFilter ref="A1:J580" xr:uid="{C07FB77D-5297-4603-8D3F-9A290D8CED6B}"/>
  <tableColumns count="10">
    <tableColumn id="1" xr3:uid="{924A3A56-A00E-4052-AF26-6508C15E715E}" uniqueName="1" name="Order_ID" queryTableFieldId="1" dataDxfId="489"/>
    <tableColumn id="2" xr3:uid="{43CFF520-17AE-42A7-8BFA-088086D0CEF9}" uniqueName="2" name="Date" queryTableFieldId="2" dataDxfId="488"/>
    <tableColumn id="3" xr3:uid="{C9BB7B3A-EE1B-4912-87F0-5C0DBD3BCAF9}" uniqueName="3" name="Item_Name" queryTableFieldId="3" dataDxfId="487"/>
    <tableColumn id="4" xr3:uid="{0FCC2AA1-54F3-46DE-9353-C6AA52B62971}" uniqueName="4" name="Quantity" queryTableFieldId="4"/>
    <tableColumn id="5" xr3:uid="{280A860C-42BF-42C5-BCDA-D681D8164C69}" uniqueName="5" name="Total_Price" queryTableFieldId="5"/>
    <tableColumn id="6" xr3:uid="{E6A9E405-DEA2-4B76-8CA0-960BBA4C6C5D}" uniqueName="6" name="Customer_Type" queryTableFieldId="6" dataDxfId="486"/>
    <tableColumn id="7" xr3:uid="{36752E28-EF3A-49F0-8EDC-2C73C9293A3C}" uniqueName="7" name="Feedback" queryTableFieldId="7" dataDxfId="485"/>
    <tableColumn id="8" xr3:uid="{C4DD1E73-7BB1-408F-8312-D08DF69861BA}" uniqueName="8" name="Discount_applied" queryTableFieldId="8"/>
    <tableColumn id="9" xr3:uid="{55736A1B-5106-47BA-BDE4-F9AA811C4C0A}" uniqueName="9" name="Delivery Location" queryTableFieldId="9" dataDxfId="484"/>
    <tableColumn id="10" xr3:uid="{312DD9C6-91F6-4EDF-B68D-21876BBFE9CE}" uniqueName="10" name="Discount_Status" queryTableFieldId="10" dataDxfId="483">
      <calculatedColumnFormula>IF(Table3_1[[#This Row],[Discount_applied]]=0,"No Discount","Discount Applied")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240014-5747-416D-874A-5559DB175EE0}" name="Table3" displayName="Table3" ref="A1:H580" totalsRowShown="0">
  <autoFilter ref="A1:H580" xr:uid="{6FB57008-8B3B-4D2F-97E7-239D0EF1A8B7}"/>
  <tableColumns count="8">
    <tableColumn id="1" xr3:uid="{26B8328D-FE59-4074-BE59-031C51A24941}" name="Order_ID|Date"/>
    <tableColumn id="2" xr3:uid="{8838FE24-AA72-4865-BC3F-90FE123AE4F4}" name="Item_Name"/>
    <tableColumn id="3" xr3:uid="{ECD745D8-354F-4221-A966-587B2FE51775}" name="Quantity"/>
    <tableColumn id="4" xr3:uid="{37DF1E9E-2E67-41FF-B183-93FE0DDC7558}" name="Total_Price"/>
    <tableColumn id="5" xr3:uid="{BF4FEEAB-5CAE-487D-AFE6-CBBCBB9133FE}" name="Customer_Type"/>
    <tableColumn id="6" xr3:uid="{C5E2C3DC-3601-4AD2-ABE5-8993CDAD595D}" name="Feedback"/>
    <tableColumn id="7" xr3:uid="{C77A320B-A641-4D85-B2B0-E74D548FAA3B}" name="Discount_Applied"/>
    <tableColumn id="8" xr3:uid="{48F01C73-9167-4C27-A872-B3C7322BC2B9}" name="Delivery_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0" dT="2026-10-25T07:02:33.66" personId="{1E7EE56B-51E5-4026-A949-49A885DC0A49}" id="{97E4077D-0EBB-4B85-9482-2201234EA048}">
    <text xml:space="preserve">Data limitation: 14 April 2025 was excluded from this sales-trend view because of suspected order-ID data-entry anomalies and unusually high recorded activity. The date has not been corrected or reconstructed due to the absence of verified source data. Other analyses retain the original records, so their totals may differ from the sales-trend total. </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414DD9-7CB9-47CC-A166-1DE0420823EC}" sourceName="Date">
  <pivotTables>
    <pivotTable tabId="16" name="PivotTable8"/>
    <pivotTable tabId="13" name="PivotTable10"/>
    <pivotTable tabId="13" name="PivotTable2"/>
    <pivotTable tabId="13" name="PivotTable3"/>
    <pivotTable tabId="14" name="PivotTable4"/>
    <pivotTable tabId="14" name="PivotTable5"/>
    <pivotTable tabId="15" name="PivotTable6"/>
    <pivotTable tabId="15" name="PivotTable7"/>
    <pivotTable tabId="15" name="PivotTable9"/>
    <pivotTable tabId="12" name="PivotTable1"/>
    <pivotTable tabId="12" name="PivotTable2"/>
    <pivotTable tabId="15" name="PivotTable3"/>
    <pivotTable tabId="15" name="PivotTable4"/>
  </pivotTables>
  <state minimalRefreshVersion="6" lastRefreshVersion="6" pivotCacheId="100899391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B3852B0-20D1-479E-994D-D7D3CEEC8297}" cache="NativeTimeline_Date" caption="Date" showSelectionLabel="0" level="2" selectionLevel="2" scrollPosition="2025-03-14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3.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AEF6-3492-4C05-8E09-F59DB666D383}">
  <sheetPr>
    <tabColor rgb="FFFFC000"/>
  </sheetPr>
  <dimension ref="N1:Z4"/>
  <sheetViews>
    <sheetView showGridLines="0" tabSelected="1" zoomScale="89" zoomScaleNormal="89" workbookViewId="0"/>
  </sheetViews>
  <sheetFormatPr defaultRowHeight="14.4" x14ac:dyDescent="0.3"/>
  <sheetData>
    <row r="1" spans="14:26" x14ac:dyDescent="0.3">
      <c r="N1" s="46">
        <f>GETPIVOTDATA("Total_Sales",Product_Performance!$A$3)</f>
        <v>158410</v>
      </c>
      <c r="O1" s="47"/>
      <c r="P1" s="47"/>
      <c r="Q1" s="48"/>
      <c r="R1" s="52">
        <f>Product_Performance!K38</f>
        <v>0.42080676724954236</v>
      </c>
      <c r="S1" s="53"/>
      <c r="T1" s="54"/>
      <c r="U1" s="37">
        <f>GETPIVOTDATA("Share in Sales",Customer_Analysis!$A$3,"Customer_Type","New")</f>
        <v>0.50097847358121328</v>
      </c>
      <c r="V1" s="38"/>
      <c r="W1" s="39"/>
      <c r="X1" s="37">
        <f>GETPIVOTDATA("Share in Sales",Customer_Analysis!$A$3,"Customer_Type","Returning")</f>
        <v>0.49902152641878667</v>
      </c>
      <c r="Y1" s="38"/>
      <c r="Z1" s="39"/>
    </row>
    <row r="2" spans="14:26" x14ac:dyDescent="0.3">
      <c r="N2" s="49"/>
      <c r="O2" s="50"/>
      <c r="P2" s="50"/>
      <c r="Q2" s="51"/>
      <c r="R2" s="55"/>
      <c r="S2" s="56"/>
      <c r="T2" s="57"/>
      <c r="U2" s="40"/>
      <c r="V2" s="41"/>
      <c r="W2" s="42"/>
      <c r="X2" s="40"/>
      <c r="Y2" s="41"/>
      <c r="Z2" s="42"/>
    </row>
    <row r="3" spans="14:26" x14ac:dyDescent="0.3">
      <c r="N3" s="49"/>
      <c r="O3" s="50"/>
      <c r="P3" s="50"/>
      <c r="Q3" s="51"/>
      <c r="R3" s="55"/>
      <c r="S3" s="56"/>
      <c r="T3" s="57"/>
      <c r="U3" s="40"/>
      <c r="V3" s="41"/>
      <c r="W3" s="42"/>
      <c r="X3" s="40"/>
      <c r="Y3" s="41"/>
      <c r="Z3" s="42"/>
    </row>
    <row r="4" spans="14:26" ht="18.600000000000001" thickBot="1" x14ac:dyDescent="0.4">
      <c r="N4" s="43" t="s">
        <v>438</v>
      </c>
      <c r="O4" s="44"/>
      <c r="P4" s="44"/>
      <c r="Q4" s="45"/>
      <c r="R4" s="43" t="s">
        <v>439</v>
      </c>
      <c r="S4" s="44"/>
      <c r="T4" s="45"/>
      <c r="U4" s="58" t="s">
        <v>440</v>
      </c>
      <c r="V4" s="59"/>
      <c r="W4" s="60"/>
      <c r="X4" s="61" t="s">
        <v>441</v>
      </c>
      <c r="Y4" s="62"/>
      <c r="Z4" s="63"/>
    </row>
  </sheetData>
  <mergeCells count="8">
    <mergeCell ref="U1:W3"/>
    <mergeCell ref="X1:Z3"/>
    <mergeCell ref="N4:Q4"/>
    <mergeCell ref="R4:T4"/>
    <mergeCell ref="N1:Q3"/>
    <mergeCell ref="R1:T3"/>
    <mergeCell ref="U4:W4"/>
    <mergeCell ref="X4:Z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CDE5F-492D-4F84-B922-2961779CC5C9}">
  <dimension ref="A1:T38"/>
  <sheetViews>
    <sheetView zoomScaleNormal="100" workbookViewId="0">
      <selection sqref="A1:B1"/>
    </sheetView>
  </sheetViews>
  <sheetFormatPr defaultRowHeight="14.4" x14ac:dyDescent="0.3"/>
  <cols>
    <col min="1" max="1" width="18.33203125" bestFit="1" customWidth="1"/>
    <col min="2" max="2" width="12.6640625" bestFit="1" customWidth="1"/>
    <col min="3" max="3" width="10.33203125" bestFit="1" customWidth="1"/>
    <col min="9" max="9" width="15.88671875" bestFit="1" customWidth="1"/>
    <col min="10" max="10" width="11.109375" bestFit="1" customWidth="1"/>
    <col min="11" max="11" width="12" bestFit="1" customWidth="1"/>
  </cols>
  <sheetData>
    <row r="1" spans="1:20" ht="18" x14ac:dyDescent="0.35">
      <c r="A1" s="72" t="s">
        <v>445</v>
      </c>
      <c r="B1" s="72"/>
    </row>
    <row r="3" spans="1:20" ht="14.4" customHeight="1" x14ac:dyDescent="0.3">
      <c r="A3" s="18" t="s">
        <v>412</v>
      </c>
      <c r="B3" t="s">
        <v>414</v>
      </c>
      <c r="C3" t="s">
        <v>437</v>
      </c>
      <c r="E3" s="22"/>
      <c r="F3" s="64" t="s">
        <v>424</v>
      </c>
      <c r="G3" s="64"/>
      <c r="H3" s="64"/>
      <c r="I3" s="64"/>
      <c r="J3" s="64"/>
      <c r="K3" s="64"/>
      <c r="L3" s="64"/>
      <c r="M3" s="64"/>
      <c r="N3" s="64"/>
      <c r="O3" s="64"/>
      <c r="P3" s="64"/>
      <c r="Q3" s="64"/>
      <c r="R3" s="64"/>
      <c r="S3" s="64"/>
      <c r="T3" s="64"/>
    </row>
    <row r="4" spans="1:20" x14ac:dyDescent="0.3">
      <c r="A4" s="21" t="s">
        <v>266</v>
      </c>
      <c r="B4" s="24">
        <v>16000</v>
      </c>
      <c r="C4" s="33">
        <v>0.10100372451234139</v>
      </c>
      <c r="E4" s="22"/>
      <c r="F4" s="64"/>
      <c r="G4" s="64"/>
      <c r="H4" s="64"/>
      <c r="I4" s="64"/>
      <c r="J4" s="64"/>
      <c r="K4" s="64"/>
      <c r="L4" s="64"/>
      <c r="M4" s="64"/>
      <c r="N4" s="64"/>
      <c r="O4" s="64"/>
      <c r="P4" s="64"/>
      <c r="Q4" s="64"/>
      <c r="R4" s="64"/>
      <c r="S4" s="64"/>
      <c r="T4" s="64"/>
    </row>
    <row r="5" spans="1:20" x14ac:dyDescent="0.3">
      <c r="A5" s="21" t="s">
        <v>286</v>
      </c>
      <c r="B5" s="24">
        <v>10000</v>
      </c>
      <c r="C5" s="33">
        <v>6.3127327820213366E-2</v>
      </c>
      <c r="E5" s="22"/>
      <c r="F5" s="64"/>
      <c r="G5" s="64"/>
      <c r="H5" s="64"/>
      <c r="I5" s="64"/>
      <c r="J5" s="64"/>
      <c r="K5" s="64"/>
      <c r="L5" s="64"/>
      <c r="M5" s="64"/>
      <c r="N5" s="64"/>
      <c r="O5" s="64"/>
      <c r="P5" s="64"/>
      <c r="Q5" s="64"/>
      <c r="R5" s="64"/>
      <c r="S5" s="64"/>
      <c r="T5" s="64"/>
    </row>
    <row r="6" spans="1:20" x14ac:dyDescent="0.3">
      <c r="A6" s="21" t="s">
        <v>283</v>
      </c>
      <c r="B6" s="24">
        <v>8550</v>
      </c>
      <c r="C6" s="33">
        <v>5.3973865286282431E-2</v>
      </c>
      <c r="E6" s="22"/>
      <c r="F6" s="64"/>
      <c r="G6" s="64"/>
      <c r="H6" s="64"/>
      <c r="I6" s="64"/>
      <c r="J6" s="64"/>
      <c r="K6" s="64"/>
      <c r="L6" s="64"/>
      <c r="M6" s="64"/>
      <c r="N6" s="64"/>
      <c r="O6" s="64"/>
      <c r="P6" s="64"/>
      <c r="Q6" s="64"/>
      <c r="R6" s="64"/>
      <c r="S6" s="64"/>
      <c r="T6" s="64"/>
    </row>
    <row r="7" spans="1:20" x14ac:dyDescent="0.3">
      <c r="A7" s="21" t="s">
        <v>244</v>
      </c>
      <c r="B7" s="24">
        <v>8550</v>
      </c>
      <c r="C7" s="33">
        <v>5.3973865286282431E-2</v>
      </c>
      <c r="E7" s="22"/>
      <c r="F7" s="64"/>
      <c r="G7" s="64"/>
      <c r="H7" s="64"/>
      <c r="I7" s="64"/>
      <c r="J7" s="64"/>
      <c r="K7" s="64"/>
      <c r="L7" s="64"/>
      <c r="M7" s="64"/>
      <c r="N7" s="64"/>
      <c r="O7" s="64"/>
      <c r="P7" s="64"/>
      <c r="Q7" s="64"/>
      <c r="R7" s="64"/>
      <c r="S7" s="64"/>
      <c r="T7" s="64"/>
    </row>
    <row r="8" spans="1:20" x14ac:dyDescent="0.3">
      <c r="A8" s="21" t="s">
        <v>278</v>
      </c>
      <c r="B8" s="24">
        <v>7980</v>
      </c>
      <c r="C8" s="33">
        <v>5.0375607600530267E-2</v>
      </c>
      <c r="E8" s="22"/>
      <c r="F8" s="64"/>
      <c r="G8" s="64"/>
      <c r="H8" s="64"/>
      <c r="I8" s="64"/>
      <c r="J8" s="64"/>
      <c r="K8" s="64"/>
      <c r="L8" s="64"/>
      <c r="M8" s="64"/>
      <c r="N8" s="64"/>
      <c r="O8" s="64"/>
      <c r="P8" s="64"/>
      <c r="Q8" s="64"/>
      <c r="R8" s="64"/>
      <c r="S8" s="64"/>
      <c r="T8" s="64"/>
    </row>
    <row r="9" spans="1:20" x14ac:dyDescent="0.3">
      <c r="A9" s="21" t="s">
        <v>302</v>
      </c>
      <c r="B9" s="24">
        <v>7980</v>
      </c>
      <c r="C9" s="33">
        <v>5.0375607600530267E-2</v>
      </c>
      <c r="E9" s="22"/>
      <c r="F9" s="64"/>
      <c r="G9" s="64"/>
      <c r="H9" s="64"/>
      <c r="I9" s="64"/>
      <c r="J9" s="64"/>
      <c r="K9" s="64"/>
      <c r="L9" s="64"/>
      <c r="M9" s="64"/>
      <c r="N9" s="64"/>
      <c r="O9" s="64"/>
      <c r="P9" s="64"/>
      <c r="Q9" s="64"/>
      <c r="R9" s="64"/>
      <c r="S9" s="64"/>
      <c r="T9" s="64"/>
    </row>
    <row r="10" spans="1:20" x14ac:dyDescent="0.3">
      <c r="A10" s="21" t="s">
        <v>251</v>
      </c>
      <c r="B10" s="24">
        <v>7600</v>
      </c>
      <c r="C10" s="33">
        <v>4.7976769143362165E-2</v>
      </c>
      <c r="E10" s="22"/>
      <c r="F10" s="22"/>
      <c r="G10" s="22"/>
      <c r="H10" s="22"/>
      <c r="I10" s="22"/>
      <c r="J10" s="22"/>
      <c r="K10" s="22"/>
      <c r="L10" s="22"/>
      <c r="M10" s="22"/>
      <c r="N10" s="22"/>
      <c r="O10" s="22"/>
      <c r="P10" s="22"/>
      <c r="Q10" s="22"/>
    </row>
    <row r="11" spans="1:20" x14ac:dyDescent="0.3">
      <c r="A11" s="19" t="s">
        <v>272</v>
      </c>
      <c r="B11" s="25">
        <v>7500</v>
      </c>
      <c r="C11" s="20">
        <v>4.7345495865160028E-2</v>
      </c>
      <c r="E11" s="22"/>
      <c r="F11" s="64" t="s">
        <v>434</v>
      </c>
      <c r="G11" s="64"/>
      <c r="H11" s="64"/>
      <c r="I11" s="64"/>
      <c r="J11" s="64"/>
      <c r="K11" s="64"/>
      <c r="L11" s="64"/>
      <c r="M11" s="64"/>
      <c r="N11" s="64"/>
      <c r="O11" s="64"/>
      <c r="P11" s="64"/>
      <c r="Q11" s="64"/>
      <c r="R11" s="64"/>
      <c r="S11" s="64"/>
      <c r="T11" s="64"/>
    </row>
    <row r="12" spans="1:20" x14ac:dyDescent="0.3">
      <c r="A12" s="19" t="s">
        <v>295</v>
      </c>
      <c r="B12" s="25">
        <v>7000</v>
      </c>
      <c r="C12" s="20">
        <v>4.4189129474149359E-2</v>
      </c>
      <c r="E12" s="22"/>
      <c r="F12" s="64"/>
      <c r="G12" s="64"/>
      <c r="H12" s="64"/>
      <c r="I12" s="64"/>
      <c r="J12" s="64"/>
      <c r="K12" s="64"/>
      <c r="L12" s="64"/>
      <c r="M12" s="64"/>
      <c r="N12" s="64"/>
      <c r="O12" s="64"/>
      <c r="P12" s="64"/>
      <c r="Q12" s="64"/>
      <c r="R12" s="64"/>
      <c r="S12" s="64"/>
      <c r="T12" s="64"/>
    </row>
    <row r="13" spans="1:20" x14ac:dyDescent="0.3">
      <c r="A13" s="19" t="s">
        <v>269</v>
      </c>
      <c r="B13" s="25">
        <v>6180</v>
      </c>
      <c r="C13" s="20">
        <v>3.9012688592891864E-2</v>
      </c>
      <c r="E13" s="22"/>
      <c r="F13" s="64"/>
      <c r="G13" s="64"/>
      <c r="H13" s="64"/>
      <c r="I13" s="64"/>
      <c r="J13" s="64"/>
      <c r="K13" s="64"/>
      <c r="L13" s="64"/>
      <c r="M13" s="64"/>
      <c r="N13" s="64"/>
      <c r="O13" s="64"/>
      <c r="P13" s="64"/>
      <c r="Q13" s="64"/>
      <c r="R13" s="64"/>
      <c r="S13" s="64"/>
      <c r="T13" s="64"/>
    </row>
    <row r="14" spans="1:20" x14ac:dyDescent="0.3">
      <c r="A14" s="19" t="s">
        <v>276</v>
      </c>
      <c r="B14" s="25">
        <v>4550</v>
      </c>
      <c r="C14" s="20">
        <v>2.8722934158197082E-2</v>
      </c>
      <c r="E14" s="22"/>
      <c r="F14" s="64"/>
      <c r="G14" s="64"/>
      <c r="H14" s="64"/>
      <c r="I14" s="64"/>
      <c r="J14" s="64"/>
      <c r="K14" s="64"/>
      <c r="L14" s="64"/>
      <c r="M14" s="64"/>
      <c r="N14" s="64"/>
      <c r="O14" s="64"/>
      <c r="P14" s="64"/>
      <c r="Q14" s="64"/>
      <c r="R14" s="64"/>
      <c r="S14" s="64"/>
      <c r="T14" s="64"/>
    </row>
    <row r="15" spans="1:20" x14ac:dyDescent="0.3">
      <c r="A15" s="19" t="s">
        <v>289</v>
      </c>
      <c r="B15" s="25">
        <v>4400</v>
      </c>
      <c r="C15" s="20">
        <v>2.7776024240893885E-2</v>
      </c>
      <c r="E15" s="22"/>
      <c r="F15" s="22"/>
      <c r="G15" s="22"/>
      <c r="H15" s="22"/>
      <c r="I15" s="22"/>
      <c r="J15" s="22"/>
      <c r="K15" s="22"/>
      <c r="L15" s="22"/>
      <c r="M15" s="22"/>
      <c r="N15" s="22"/>
      <c r="O15" s="22"/>
      <c r="P15" s="22"/>
      <c r="Q15" s="22"/>
    </row>
    <row r="16" spans="1:20" x14ac:dyDescent="0.3">
      <c r="A16" s="19" t="s">
        <v>256</v>
      </c>
      <c r="B16" s="25">
        <v>4400</v>
      </c>
      <c r="C16" s="20">
        <v>2.7776024240893885E-2</v>
      </c>
      <c r="E16" s="22"/>
      <c r="F16" s="64" t="s">
        <v>425</v>
      </c>
      <c r="G16" s="64"/>
      <c r="H16" s="64"/>
      <c r="I16" s="64"/>
      <c r="J16" s="64"/>
      <c r="K16" s="64"/>
      <c r="L16" s="64"/>
      <c r="M16" s="64"/>
      <c r="N16" s="64"/>
      <c r="O16" s="64"/>
      <c r="P16" s="64"/>
      <c r="Q16" s="64"/>
      <c r="R16" s="64"/>
      <c r="S16" s="64"/>
      <c r="T16" s="64"/>
    </row>
    <row r="17" spans="1:20" x14ac:dyDescent="0.3">
      <c r="A17" s="19" t="s">
        <v>339</v>
      </c>
      <c r="B17" s="25">
        <v>3840</v>
      </c>
      <c r="C17" s="20">
        <v>2.4240893882961936E-2</v>
      </c>
      <c r="E17" s="22"/>
      <c r="F17" s="64"/>
      <c r="G17" s="64"/>
      <c r="H17" s="64"/>
      <c r="I17" s="64"/>
      <c r="J17" s="64"/>
      <c r="K17" s="64"/>
      <c r="L17" s="64"/>
      <c r="M17" s="64"/>
      <c r="N17" s="64"/>
      <c r="O17" s="64"/>
      <c r="P17" s="64"/>
      <c r="Q17" s="64"/>
      <c r="R17" s="64"/>
      <c r="S17" s="64"/>
      <c r="T17" s="64"/>
    </row>
    <row r="18" spans="1:20" x14ac:dyDescent="0.3">
      <c r="A18" s="19" t="s">
        <v>326</v>
      </c>
      <c r="B18" s="25">
        <v>3840</v>
      </c>
      <c r="C18" s="20">
        <v>2.4240893882961936E-2</v>
      </c>
      <c r="E18" s="22"/>
      <c r="F18" s="64"/>
      <c r="G18" s="64"/>
      <c r="H18" s="64"/>
      <c r="I18" s="64"/>
      <c r="J18" s="64"/>
      <c r="K18" s="64"/>
      <c r="L18" s="64"/>
      <c r="M18" s="64"/>
      <c r="N18" s="64"/>
      <c r="O18" s="64"/>
      <c r="P18" s="64"/>
      <c r="Q18" s="64"/>
      <c r="R18" s="64"/>
      <c r="S18" s="64"/>
      <c r="T18" s="64"/>
    </row>
    <row r="19" spans="1:20" x14ac:dyDescent="0.3">
      <c r="A19" s="19" t="s">
        <v>309</v>
      </c>
      <c r="B19" s="25">
        <v>3840</v>
      </c>
      <c r="C19" s="20">
        <v>2.4240893882961936E-2</v>
      </c>
      <c r="E19" s="22"/>
      <c r="F19" s="64"/>
      <c r="G19" s="64"/>
      <c r="H19" s="64"/>
      <c r="I19" s="64"/>
      <c r="J19" s="64"/>
      <c r="K19" s="64"/>
      <c r="L19" s="64"/>
      <c r="M19" s="64"/>
      <c r="N19" s="64"/>
      <c r="O19" s="64"/>
      <c r="P19" s="64"/>
      <c r="Q19" s="64"/>
      <c r="R19" s="64"/>
      <c r="S19" s="64"/>
      <c r="T19" s="64"/>
    </row>
    <row r="20" spans="1:20" x14ac:dyDescent="0.3">
      <c r="A20" s="19" t="s">
        <v>292</v>
      </c>
      <c r="B20" s="25">
        <v>3600</v>
      </c>
      <c r="C20" s="20">
        <v>2.2725838015276813E-2</v>
      </c>
      <c r="E20" s="22"/>
      <c r="F20" s="64"/>
      <c r="G20" s="64"/>
      <c r="H20" s="64"/>
      <c r="I20" s="64"/>
      <c r="J20" s="64"/>
      <c r="K20" s="64"/>
      <c r="L20" s="64"/>
      <c r="M20" s="64"/>
      <c r="N20" s="64"/>
      <c r="O20" s="64"/>
      <c r="P20" s="64"/>
      <c r="Q20" s="64"/>
      <c r="R20" s="64"/>
      <c r="S20" s="64"/>
      <c r="T20" s="64"/>
    </row>
    <row r="21" spans="1:20" x14ac:dyDescent="0.3">
      <c r="A21" s="19" t="s">
        <v>314</v>
      </c>
      <c r="B21" s="25">
        <v>3600</v>
      </c>
      <c r="C21" s="20">
        <v>2.2725838015276813E-2</v>
      </c>
      <c r="E21" s="22"/>
      <c r="F21" s="64"/>
      <c r="G21" s="64"/>
      <c r="H21" s="64"/>
      <c r="I21" s="64"/>
      <c r="J21" s="64"/>
      <c r="K21" s="64"/>
      <c r="L21" s="64"/>
      <c r="M21" s="64"/>
      <c r="N21" s="64"/>
      <c r="O21" s="64"/>
      <c r="P21" s="64"/>
      <c r="Q21" s="64"/>
      <c r="R21" s="64"/>
      <c r="S21" s="64"/>
      <c r="T21" s="64"/>
    </row>
    <row r="22" spans="1:20" x14ac:dyDescent="0.3">
      <c r="A22" s="19" t="s">
        <v>280</v>
      </c>
      <c r="B22" s="25">
        <v>3480</v>
      </c>
      <c r="C22" s="20">
        <v>2.1968310081434253E-2</v>
      </c>
      <c r="E22" s="22"/>
      <c r="F22" s="64"/>
      <c r="G22" s="64"/>
      <c r="H22" s="64"/>
      <c r="I22" s="64"/>
      <c r="J22" s="64"/>
      <c r="K22" s="64"/>
      <c r="L22" s="64"/>
      <c r="M22" s="64"/>
      <c r="N22" s="64"/>
      <c r="O22" s="64"/>
      <c r="P22" s="64"/>
      <c r="Q22" s="64"/>
      <c r="R22" s="64"/>
      <c r="S22" s="64"/>
      <c r="T22" s="64"/>
    </row>
    <row r="23" spans="1:20" x14ac:dyDescent="0.3">
      <c r="A23" s="19" t="s">
        <v>274</v>
      </c>
      <c r="B23" s="25">
        <v>3380</v>
      </c>
      <c r="C23" s="20">
        <v>2.133703680323212E-2</v>
      </c>
      <c r="E23" s="22"/>
      <c r="F23" s="64"/>
      <c r="G23" s="64"/>
      <c r="H23" s="64"/>
      <c r="I23" s="64"/>
      <c r="J23" s="64"/>
      <c r="K23" s="64"/>
      <c r="L23" s="64"/>
      <c r="M23" s="64"/>
      <c r="N23" s="64"/>
      <c r="O23" s="64"/>
      <c r="P23" s="64"/>
      <c r="Q23" s="64"/>
      <c r="R23" s="64"/>
      <c r="S23" s="64"/>
      <c r="T23" s="64"/>
    </row>
    <row r="24" spans="1:20" x14ac:dyDescent="0.3">
      <c r="A24" s="19" t="s">
        <v>333</v>
      </c>
      <c r="B24" s="25">
        <v>3300</v>
      </c>
      <c r="C24" s="20">
        <v>2.0832018180670413E-2</v>
      </c>
      <c r="E24" s="22"/>
      <c r="F24" s="22"/>
      <c r="G24" s="22"/>
      <c r="H24" s="22"/>
      <c r="I24" s="22"/>
      <c r="J24" s="22"/>
      <c r="K24" s="22"/>
      <c r="L24" s="22"/>
      <c r="M24" s="22"/>
      <c r="N24" s="22"/>
      <c r="O24" s="22"/>
      <c r="P24" s="22"/>
      <c r="Q24" s="22"/>
    </row>
    <row r="25" spans="1:20" x14ac:dyDescent="0.3">
      <c r="A25" s="19" t="s">
        <v>260</v>
      </c>
      <c r="B25" s="25">
        <v>3250</v>
      </c>
      <c r="C25" s="20">
        <v>2.0516381541569345E-2</v>
      </c>
    </row>
    <row r="26" spans="1:20" x14ac:dyDescent="0.3">
      <c r="A26" s="19" t="s">
        <v>318</v>
      </c>
      <c r="B26" s="25">
        <v>3000</v>
      </c>
      <c r="C26" s="20">
        <v>1.8938198346064011E-2</v>
      </c>
    </row>
    <row r="27" spans="1:20" ht="14.4" customHeight="1" x14ac:dyDescent="0.3">
      <c r="A27" s="19" t="s">
        <v>305</v>
      </c>
      <c r="B27" s="25">
        <v>2940</v>
      </c>
      <c r="C27" s="20">
        <v>1.8559434379142731E-2</v>
      </c>
      <c r="I27" s="65" t="s">
        <v>436</v>
      </c>
      <c r="J27" s="65"/>
      <c r="K27" s="65"/>
      <c r="L27" s="65"/>
      <c r="M27" s="65"/>
      <c r="N27" s="65"/>
      <c r="O27" s="65"/>
    </row>
    <row r="28" spans="1:20" x14ac:dyDescent="0.3">
      <c r="A28" s="19" t="s">
        <v>312</v>
      </c>
      <c r="B28" s="25">
        <v>2880</v>
      </c>
      <c r="C28" s="20">
        <v>1.8180670412221451E-2</v>
      </c>
      <c r="I28" s="65"/>
      <c r="J28" s="65"/>
      <c r="K28" s="65"/>
      <c r="L28" s="65"/>
      <c r="M28" s="65"/>
      <c r="N28" s="65"/>
      <c r="O28" s="65"/>
    </row>
    <row r="29" spans="1:20" x14ac:dyDescent="0.3">
      <c r="A29" s="19" t="s">
        <v>331</v>
      </c>
      <c r="B29" s="25">
        <v>2860</v>
      </c>
      <c r="C29" s="20">
        <v>1.8054415756581024E-2</v>
      </c>
      <c r="I29" s="65"/>
      <c r="J29" s="65"/>
      <c r="K29" s="65"/>
      <c r="L29" s="65"/>
      <c r="M29" s="65"/>
      <c r="N29" s="65"/>
      <c r="O29" s="65"/>
    </row>
    <row r="30" spans="1:20" x14ac:dyDescent="0.3">
      <c r="A30" s="19" t="s">
        <v>337</v>
      </c>
      <c r="B30" s="25">
        <v>2640</v>
      </c>
      <c r="C30" s="20">
        <v>1.6665614544536331E-2</v>
      </c>
      <c r="I30" s="18" t="s">
        <v>412</v>
      </c>
      <c r="J30" t="s">
        <v>414</v>
      </c>
      <c r="K30" s="34" t="s">
        <v>437</v>
      </c>
    </row>
    <row r="31" spans="1:20" x14ac:dyDescent="0.3">
      <c r="A31" s="19" t="s">
        <v>263</v>
      </c>
      <c r="B31" s="25">
        <v>2340</v>
      </c>
      <c r="C31" s="20">
        <v>1.4771794709929929E-2</v>
      </c>
      <c r="I31" s="31" t="s">
        <v>266</v>
      </c>
      <c r="J31" s="32">
        <v>16000</v>
      </c>
      <c r="K31" s="36">
        <v>0.10100372451234139</v>
      </c>
    </row>
    <row r="32" spans="1:20" x14ac:dyDescent="0.3">
      <c r="A32" s="19" t="s">
        <v>335</v>
      </c>
      <c r="B32" s="25">
        <v>2200</v>
      </c>
      <c r="C32" s="20">
        <v>1.3888012120446942E-2</v>
      </c>
      <c r="I32" s="31" t="s">
        <v>286</v>
      </c>
      <c r="J32" s="32">
        <v>10000</v>
      </c>
      <c r="K32" s="36">
        <v>6.3127327820213366E-2</v>
      </c>
    </row>
    <row r="33" spans="1:11" x14ac:dyDescent="0.3">
      <c r="A33" s="19" t="s">
        <v>322</v>
      </c>
      <c r="B33" s="25">
        <v>2160</v>
      </c>
      <c r="C33" s="20">
        <v>1.3635502809166087E-2</v>
      </c>
      <c r="I33" s="31" t="s">
        <v>283</v>
      </c>
      <c r="J33" s="32">
        <v>8550</v>
      </c>
      <c r="K33" s="36">
        <v>5.3973865286282431E-2</v>
      </c>
    </row>
    <row r="34" spans="1:11" x14ac:dyDescent="0.3">
      <c r="A34" s="19" t="s">
        <v>307</v>
      </c>
      <c r="B34" s="25">
        <v>1700</v>
      </c>
      <c r="C34" s="20">
        <v>1.0731645729436273E-2</v>
      </c>
      <c r="I34" s="31" t="s">
        <v>244</v>
      </c>
      <c r="J34" s="32">
        <v>8550</v>
      </c>
      <c r="K34" s="36">
        <v>5.3973865286282431E-2</v>
      </c>
    </row>
    <row r="35" spans="1:11" x14ac:dyDescent="0.3">
      <c r="A35" s="19" t="s">
        <v>328</v>
      </c>
      <c r="B35" s="25">
        <v>1440</v>
      </c>
      <c r="C35" s="20">
        <v>9.0903352061107254E-3</v>
      </c>
      <c r="I35" s="31" t="s">
        <v>278</v>
      </c>
      <c r="J35" s="32">
        <v>7980</v>
      </c>
      <c r="K35" s="36">
        <v>5.0375607600530267E-2</v>
      </c>
    </row>
    <row r="36" spans="1:11" x14ac:dyDescent="0.3">
      <c r="A36" s="19" t="s">
        <v>324</v>
      </c>
      <c r="B36" s="25">
        <v>1080</v>
      </c>
      <c r="C36" s="20">
        <v>6.8177514045830436E-3</v>
      </c>
      <c r="I36" s="31" t="s">
        <v>302</v>
      </c>
      <c r="J36" s="32">
        <v>7980</v>
      </c>
      <c r="K36" s="36">
        <v>5.0375607600530267E-2</v>
      </c>
    </row>
    <row r="37" spans="1:11" x14ac:dyDescent="0.3">
      <c r="A37" s="19" t="s">
        <v>13</v>
      </c>
      <c r="B37" s="25">
        <v>350</v>
      </c>
      <c r="C37" s="20">
        <v>2.2094564737074681E-3</v>
      </c>
      <c r="I37" s="31" t="s">
        <v>251</v>
      </c>
      <c r="J37" s="32">
        <v>7600</v>
      </c>
      <c r="K37" s="36">
        <v>4.7976769143362165E-2</v>
      </c>
    </row>
    <row r="38" spans="1:11" x14ac:dyDescent="0.3">
      <c r="A38" s="19" t="s">
        <v>413</v>
      </c>
      <c r="B38" s="25">
        <v>158410</v>
      </c>
      <c r="C38" s="20">
        <v>1</v>
      </c>
      <c r="I38" s="19" t="s">
        <v>413</v>
      </c>
      <c r="J38" s="25">
        <v>66660</v>
      </c>
      <c r="K38" s="35">
        <f>SUM(K31:K37)</f>
        <v>0.42080676724954236</v>
      </c>
    </row>
  </sheetData>
  <mergeCells count="5">
    <mergeCell ref="F3:T9"/>
    <mergeCell ref="F11:T14"/>
    <mergeCell ref="F16:T23"/>
    <mergeCell ref="I27:O29"/>
    <mergeCell ref="A1:B1"/>
  </mergeCells>
  <hyperlinks>
    <hyperlink ref="A1:B1" location="Interactive_Dashboard!A1" tooltip="Dashboard" display="&lt; Back to Dashboard" xr:uid="{85EF1D93-9F8C-4FA7-BFD4-44FA8E8D2D57}"/>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12E5-333A-4FFA-B752-C4145DBE9021}">
  <dimension ref="A1:T27"/>
  <sheetViews>
    <sheetView workbookViewId="0">
      <selection sqref="A1:B1"/>
    </sheetView>
  </sheetViews>
  <sheetFormatPr defaultRowHeight="14.4" x14ac:dyDescent="0.3"/>
  <cols>
    <col min="1" max="1" width="12.44140625" bestFit="1" customWidth="1"/>
    <col min="2" max="2" width="15.5546875" bestFit="1" customWidth="1"/>
    <col min="3" max="3" width="8.88671875" bestFit="1" customWidth="1"/>
    <col min="4" max="4" width="10.5546875" bestFit="1" customWidth="1"/>
  </cols>
  <sheetData>
    <row r="1" spans="1:20" ht="18" x14ac:dyDescent="0.35">
      <c r="A1" s="72" t="s">
        <v>445</v>
      </c>
      <c r="B1" s="72"/>
    </row>
    <row r="3" spans="1:20" x14ac:dyDescent="0.3">
      <c r="A3" s="18" t="s">
        <v>412</v>
      </c>
      <c r="B3" t="s">
        <v>414</v>
      </c>
      <c r="C3" t="s">
        <v>415</v>
      </c>
      <c r="G3" s="64" t="s">
        <v>426</v>
      </c>
      <c r="H3" s="64"/>
      <c r="I3" s="64"/>
      <c r="J3" s="64"/>
      <c r="K3" s="64"/>
      <c r="L3" s="64"/>
      <c r="M3" s="64"/>
      <c r="N3" s="64"/>
      <c r="O3" s="64"/>
      <c r="P3" s="64"/>
      <c r="Q3" s="64"/>
      <c r="R3" s="64"/>
      <c r="S3" s="64"/>
      <c r="T3" s="64"/>
    </row>
    <row r="4" spans="1:20" x14ac:dyDescent="0.3">
      <c r="A4" s="19" t="s">
        <v>14</v>
      </c>
      <c r="B4" s="25">
        <v>79360</v>
      </c>
      <c r="C4" s="20">
        <v>0.50097847358121328</v>
      </c>
      <c r="G4" s="64"/>
      <c r="H4" s="64"/>
      <c r="I4" s="64"/>
      <c r="J4" s="64"/>
      <c r="K4" s="64"/>
      <c r="L4" s="64"/>
      <c r="M4" s="64"/>
      <c r="N4" s="64"/>
      <c r="O4" s="64"/>
      <c r="P4" s="64"/>
      <c r="Q4" s="64"/>
      <c r="R4" s="64"/>
      <c r="S4" s="64"/>
      <c r="T4" s="64"/>
    </row>
    <row r="5" spans="1:20" x14ac:dyDescent="0.3">
      <c r="A5" s="19" t="s">
        <v>26</v>
      </c>
      <c r="B5" s="25">
        <v>79050</v>
      </c>
      <c r="C5" s="20">
        <v>0.49902152641878667</v>
      </c>
      <c r="G5" s="64"/>
      <c r="H5" s="64"/>
      <c r="I5" s="64"/>
      <c r="J5" s="64"/>
      <c r="K5" s="64"/>
      <c r="L5" s="64"/>
      <c r="M5" s="64"/>
      <c r="N5" s="64"/>
      <c r="O5" s="64"/>
      <c r="P5" s="64"/>
      <c r="Q5" s="64"/>
      <c r="R5" s="64"/>
      <c r="S5" s="64"/>
      <c r="T5" s="64"/>
    </row>
    <row r="6" spans="1:20" x14ac:dyDescent="0.3">
      <c r="A6" s="19" t="s">
        <v>413</v>
      </c>
      <c r="B6" s="25">
        <v>158410</v>
      </c>
      <c r="C6" s="20">
        <v>1</v>
      </c>
      <c r="G6" s="64"/>
      <c r="H6" s="64"/>
      <c r="I6" s="64"/>
      <c r="J6" s="64"/>
      <c r="K6" s="64"/>
      <c r="L6" s="64"/>
      <c r="M6" s="64"/>
      <c r="N6" s="64"/>
      <c r="O6" s="64"/>
      <c r="P6" s="64"/>
      <c r="Q6" s="64"/>
      <c r="R6" s="64"/>
      <c r="S6" s="64"/>
      <c r="T6" s="64"/>
    </row>
    <row r="7" spans="1:20" x14ac:dyDescent="0.3">
      <c r="G7" s="64"/>
      <c r="H7" s="64"/>
      <c r="I7" s="64"/>
      <c r="J7" s="64"/>
      <c r="K7" s="64"/>
      <c r="L7" s="64"/>
      <c r="M7" s="64"/>
      <c r="N7" s="64"/>
      <c r="O7" s="64"/>
      <c r="P7" s="64"/>
      <c r="Q7" s="64"/>
      <c r="R7" s="64"/>
      <c r="S7" s="64"/>
      <c r="T7" s="64"/>
    </row>
    <row r="8" spans="1:20" x14ac:dyDescent="0.3">
      <c r="G8" s="64"/>
      <c r="H8" s="64"/>
      <c r="I8" s="64"/>
      <c r="J8" s="64"/>
      <c r="K8" s="64"/>
      <c r="L8" s="64"/>
      <c r="M8" s="64"/>
      <c r="N8" s="64"/>
      <c r="O8" s="64"/>
      <c r="P8" s="64"/>
      <c r="Q8" s="64"/>
      <c r="R8" s="64"/>
      <c r="S8" s="64"/>
      <c r="T8" s="64"/>
    </row>
    <row r="9" spans="1:20" x14ac:dyDescent="0.3">
      <c r="A9" s="18" t="s">
        <v>417</v>
      </c>
      <c r="B9" s="18" t="s">
        <v>416</v>
      </c>
      <c r="G9" s="64"/>
      <c r="H9" s="64"/>
      <c r="I9" s="64"/>
      <c r="J9" s="64"/>
      <c r="K9" s="64"/>
      <c r="L9" s="64"/>
      <c r="M9" s="64"/>
      <c r="N9" s="64"/>
      <c r="O9" s="64"/>
      <c r="P9" s="64"/>
      <c r="Q9" s="64"/>
      <c r="R9" s="64"/>
      <c r="S9" s="64"/>
      <c r="T9" s="64"/>
    </row>
    <row r="10" spans="1:20" x14ac:dyDescent="0.3">
      <c r="A10" s="18" t="s">
        <v>412</v>
      </c>
      <c r="B10" t="s">
        <v>14</v>
      </c>
      <c r="C10" t="s">
        <v>26</v>
      </c>
      <c r="D10" t="s">
        <v>413</v>
      </c>
      <c r="G10" s="64"/>
      <c r="H10" s="64"/>
      <c r="I10" s="64"/>
      <c r="J10" s="64"/>
      <c r="K10" s="64"/>
      <c r="L10" s="64"/>
      <c r="M10" s="64"/>
      <c r="N10" s="64"/>
      <c r="O10" s="64"/>
      <c r="P10" s="64"/>
      <c r="Q10" s="64"/>
      <c r="R10" s="64"/>
      <c r="S10" s="64"/>
      <c r="T10" s="64"/>
    </row>
    <row r="11" spans="1:20" x14ac:dyDescent="0.3">
      <c r="A11" s="19" t="s">
        <v>257</v>
      </c>
      <c r="B11" s="73">
        <v>103</v>
      </c>
      <c r="C11" s="73">
        <v>28</v>
      </c>
      <c r="D11" s="73">
        <v>131</v>
      </c>
      <c r="G11" s="64"/>
      <c r="H11" s="64"/>
      <c r="I11" s="64"/>
      <c r="J11" s="64"/>
      <c r="K11" s="64"/>
      <c r="L11" s="64"/>
      <c r="M11" s="64"/>
      <c r="N11" s="64"/>
      <c r="O11" s="64"/>
      <c r="P11" s="64"/>
      <c r="Q11" s="64"/>
      <c r="R11" s="64"/>
      <c r="S11" s="64"/>
      <c r="T11" s="64"/>
    </row>
    <row r="12" spans="1:20" x14ac:dyDescent="0.3">
      <c r="A12" s="19" t="s">
        <v>15</v>
      </c>
      <c r="B12" s="73">
        <v>72</v>
      </c>
      <c r="C12" s="73">
        <v>123</v>
      </c>
      <c r="D12" s="73">
        <v>195</v>
      </c>
    </row>
    <row r="13" spans="1:20" x14ac:dyDescent="0.3">
      <c r="A13" s="19" t="s">
        <v>27</v>
      </c>
      <c r="B13" s="73">
        <v>115</v>
      </c>
      <c r="C13" s="73">
        <v>138</v>
      </c>
      <c r="D13" s="73">
        <v>253</v>
      </c>
      <c r="G13" s="64" t="s">
        <v>427</v>
      </c>
      <c r="H13" s="64"/>
      <c r="I13" s="64"/>
      <c r="J13" s="64"/>
      <c r="K13" s="64"/>
      <c r="L13" s="64"/>
      <c r="M13" s="64"/>
      <c r="N13" s="64"/>
      <c r="O13" s="64"/>
      <c r="P13" s="64"/>
      <c r="Q13" s="64"/>
      <c r="R13" s="64"/>
      <c r="S13" s="64"/>
      <c r="T13" s="64"/>
    </row>
    <row r="14" spans="1:20" x14ac:dyDescent="0.3">
      <c r="A14" s="19" t="s">
        <v>413</v>
      </c>
      <c r="B14" s="73">
        <v>290</v>
      </c>
      <c r="C14" s="73">
        <v>289</v>
      </c>
      <c r="D14" s="73">
        <v>579</v>
      </c>
      <c r="G14" s="64"/>
      <c r="H14" s="64"/>
      <c r="I14" s="64"/>
      <c r="J14" s="64"/>
      <c r="K14" s="64"/>
      <c r="L14" s="64"/>
      <c r="M14" s="64"/>
      <c r="N14" s="64"/>
      <c r="O14" s="64"/>
      <c r="P14" s="64"/>
      <c r="Q14" s="64"/>
      <c r="R14" s="64"/>
      <c r="S14" s="64"/>
      <c r="T14" s="64"/>
    </row>
    <row r="15" spans="1:20" x14ac:dyDescent="0.3">
      <c r="G15" s="64"/>
      <c r="H15" s="64"/>
      <c r="I15" s="64"/>
      <c r="J15" s="64"/>
      <c r="K15" s="64"/>
      <c r="L15" s="64"/>
      <c r="M15" s="64"/>
      <c r="N15" s="64"/>
      <c r="O15" s="64"/>
      <c r="P15" s="64"/>
      <c r="Q15" s="64"/>
      <c r="R15" s="64"/>
      <c r="S15" s="64"/>
      <c r="T15" s="64"/>
    </row>
    <row r="16" spans="1:20" x14ac:dyDescent="0.3">
      <c r="G16" s="64"/>
      <c r="H16" s="64"/>
      <c r="I16" s="64"/>
      <c r="J16" s="64"/>
      <c r="K16" s="64"/>
      <c r="L16" s="64"/>
      <c r="M16" s="64"/>
      <c r="N16" s="64"/>
      <c r="O16" s="64"/>
      <c r="P16" s="64"/>
      <c r="Q16" s="64"/>
      <c r="R16" s="64"/>
      <c r="S16" s="64"/>
      <c r="T16" s="64"/>
    </row>
    <row r="17" spans="1:20" x14ac:dyDescent="0.3">
      <c r="A17" s="18" t="s">
        <v>417</v>
      </c>
      <c r="B17" s="18" t="s">
        <v>416</v>
      </c>
      <c r="G17" s="64"/>
      <c r="H17" s="64"/>
      <c r="I17" s="64"/>
      <c r="J17" s="64"/>
      <c r="K17" s="64"/>
      <c r="L17" s="64"/>
      <c r="M17" s="64"/>
      <c r="N17" s="64"/>
      <c r="O17" s="64"/>
      <c r="P17" s="64"/>
      <c r="Q17" s="64"/>
      <c r="R17" s="64"/>
      <c r="S17" s="64"/>
      <c r="T17" s="64"/>
    </row>
    <row r="18" spans="1:20" x14ac:dyDescent="0.3">
      <c r="A18" s="18" t="s">
        <v>412</v>
      </c>
      <c r="B18" t="s">
        <v>14</v>
      </c>
      <c r="C18" t="s">
        <v>26</v>
      </c>
      <c r="D18" t="s">
        <v>413</v>
      </c>
    </row>
    <row r="19" spans="1:20" x14ac:dyDescent="0.3">
      <c r="A19" s="19" t="s">
        <v>257</v>
      </c>
      <c r="B19" s="20">
        <v>0.35517241379310344</v>
      </c>
      <c r="C19" s="20">
        <v>9.6885813148788927E-2</v>
      </c>
      <c r="D19" s="20">
        <v>0.22625215889464595</v>
      </c>
      <c r="G19" s="66" t="s">
        <v>428</v>
      </c>
      <c r="H19" s="64"/>
      <c r="I19" s="64"/>
      <c r="J19" s="64"/>
      <c r="K19" s="64"/>
      <c r="L19" s="64"/>
      <c r="M19" s="64"/>
      <c r="N19" s="64"/>
      <c r="O19" s="64"/>
      <c r="P19" s="64"/>
      <c r="Q19" s="64"/>
      <c r="R19" s="64"/>
      <c r="S19" s="64"/>
      <c r="T19" s="64"/>
    </row>
    <row r="20" spans="1:20" x14ac:dyDescent="0.3">
      <c r="A20" s="19" t="s">
        <v>15</v>
      </c>
      <c r="B20" s="20">
        <v>0.24827586206896551</v>
      </c>
      <c r="C20" s="20">
        <v>0.42560553633217996</v>
      </c>
      <c r="D20" s="20">
        <v>0.33678756476683935</v>
      </c>
      <c r="G20" s="64"/>
      <c r="H20" s="64"/>
      <c r="I20" s="64"/>
      <c r="J20" s="64"/>
      <c r="K20" s="64"/>
      <c r="L20" s="64"/>
      <c r="M20" s="64"/>
      <c r="N20" s="64"/>
      <c r="O20" s="64"/>
      <c r="P20" s="64"/>
      <c r="Q20" s="64"/>
      <c r="R20" s="64"/>
      <c r="S20" s="64"/>
      <c r="T20" s="64"/>
    </row>
    <row r="21" spans="1:20" x14ac:dyDescent="0.3">
      <c r="A21" s="19" t="s">
        <v>27</v>
      </c>
      <c r="B21" s="20">
        <v>0.39655172413793105</v>
      </c>
      <c r="C21" s="20">
        <v>0.47750865051903113</v>
      </c>
      <c r="D21" s="20">
        <v>0.4369602763385147</v>
      </c>
      <c r="G21" s="64"/>
      <c r="H21" s="64"/>
      <c r="I21" s="64"/>
      <c r="J21" s="64"/>
      <c r="K21" s="64"/>
      <c r="L21" s="64"/>
      <c r="M21" s="64"/>
      <c r="N21" s="64"/>
      <c r="O21" s="64"/>
      <c r="P21" s="64"/>
      <c r="Q21" s="64"/>
      <c r="R21" s="64"/>
      <c r="S21" s="64"/>
      <c r="T21" s="64"/>
    </row>
    <row r="22" spans="1:20" x14ac:dyDescent="0.3">
      <c r="A22" s="19" t="s">
        <v>413</v>
      </c>
      <c r="B22" s="20">
        <v>1</v>
      </c>
      <c r="C22" s="20">
        <v>1</v>
      </c>
      <c r="D22" s="20">
        <v>1</v>
      </c>
      <c r="G22" s="64"/>
      <c r="H22" s="64"/>
      <c r="I22" s="64"/>
      <c r="J22" s="64"/>
      <c r="K22" s="64"/>
      <c r="L22" s="64"/>
      <c r="M22" s="64"/>
      <c r="N22" s="64"/>
      <c r="O22" s="64"/>
      <c r="P22" s="64"/>
      <c r="Q22" s="64"/>
      <c r="R22" s="64"/>
      <c r="S22" s="64"/>
      <c r="T22" s="64"/>
    </row>
    <row r="23" spans="1:20" x14ac:dyDescent="0.3">
      <c r="G23" s="64"/>
      <c r="H23" s="64"/>
      <c r="I23" s="64"/>
      <c r="J23" s="64"/>
      <c r="K23" s="64"/>
      <c r="L23" s="64"/>
      <c r="M23" s="64"/>
      <c r="N23" s="64"/>
      <c r="O23" s="64"/>
      <c r="P23" s="64"/>
      <c r="Q23" s="64"/>
      <c r="R23" s="64"/>
      <c r="S23" s="64"/>
      <c r="T23" s="64"/>
    </row>
    <row r="24" spans="1:20" x14ac:dyDescent="0.3">
      <c r="G24" s="64"/>
      <c r="H24" s="64"/>
      <c r="I24" s="64"/>
      <c r="J24" s="64"/>
      <c r="K24" s="64"/>
      <c r="L24" s="64"/>
      <c r="M24" s="64"/>
      <c r="N24" s="64"/>
      <c r="O24" s="64"/>
      <c r="P24" s="64"/>
      <c r="Q24" s="64"/>
      <c r="R24" s="64"/>
      <c r="S24" s="64"/>
      <c r="T24" s="64"/>
    </row>
    <row r="25" spans="1:20" x14ac:dyDescent="0.3">
      <c r="G25" s="64"/>
      <c r="H25" s="64"/>
      <c r="I25" s="64"/>
      <c r="J25" s="64"/>
      <c r="K25" s="64"/>
      <c r="L25" s="64"/>
      <c r="M25" s="64"/>
      <c r="N25" s="64"/>
      <c r="O25" s="64"/>
      <c r="P25" s="64"/>
      <c r="Q25" s="64"/>
      <c r="R25" s="64"/>
      <c r="S25" s="64"/>
      <c r="T25" s="64"/>
    </row>
    <row r="26" spans="1:20" x14ac:dyDescent="0.3">
      <c r="G26" s="64"/>
      <c r="H26" s="64"/>
      <c r="I26" s="64"/>
      <c r="J26" s="64"/>
      <c r="K26" s="64"/>
      <c r="L26" s="64"/>
      <c r="M26" s="64"/>
      <c r="N26" s="64"/>
      <c r="O26" s="64"/>
      <c r="P26" s="64"/>
      <c r="Q26" s="64"/>
      <c r="R26" s="64"/>
      <c r="S26" s="64"/>
      <c r="T26" s="64"/>
    </row>
    <row r="27" spans="1:20" x14ac:dyDescent="0.3">
      <c r="G27" s="64"/>
      <c r="H27" s="64"/>
      <c r="I27" s="64"/>
      <c r="J27" s="64"/>
      <c r="K27" s="64"/>
      <c r="L27" s="64"/>
      <c r="M27" s="64"/>
      <c r="N27" s="64"/>
      <c r="O27" s="64"/>
      <c r="P27" s="64"/>
      <c r="Q27" s="64"/>
      <c r="R27" s="64"/>
      <c r="S27" s="64"/>
      <c r="T27" s="64"/>
    </row>
  </sheetData>
  <mergeCells count="4">
    <mergeCell ref="G3:T11"/>
    <mergeCell ref="G13:T17"/>
    <mergeCell ref="G19:T27"/>
    <mergeCell ref="A1:B1"/>
  </mergeCells>
  <hyperlinks>
    <hyperlink ref="A1:B1" location="Interactive_Dashboard!A1" tooltip="Dashboard" display="&lt; Back to Dashboard" xr:uid="{DEBD2466-DBC3-49CF-8E40-2A3E2B60B30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090BB-C60A-49E0-AFA2-1DBD85442A9F}">
  <dimension ref="A1:S27"/>
  <sheetViews>
    <sheetView workbookViewId="0">
      <selection sqref="A1:B1"/>
    </sheetView>
  </sheetViews>
  <sheetFormatPr defaultRowHeight="14.4" x14ac:dyDescent="0.3"/>
  <cols>
    <col min="1" max="1" width="12.44140625" bestFit="1" customWidth="1"/>
    <col min="2" max="2" width="15.5546875" bestFit="1" customWidth="1"/>
    <col min="3" max="3" width="11" bestFit="1" customWidth="1"/>
    <col min="4" max="4" width="10.5546875" bestFit="1" customWidth="1"/>
    <col min="5" max="5" width="16.5546875" bestFit="1" customWidth="1"/>
    <col min="6" max="6" width="12.44140625" bestFit="1" customWidth="1"/>
    <col min="7" max="7" width="15.5546875" bestFit="1" customWidth="1"/>
    <col min="8" max="8" width="11" bestFit="1" customWidth="1"/>
    <col min="9" max="9" width="10.5546875" bestFit="1" customWidth="1"/>
  </cols>
  <sheetData>
    <row r="1" spans="1:19" ht="18" x14ac:dyDescent="0.35">
      <c r="A1" s="72" t="s">
        <v>445</v>
      </c>
      <c r="B1" s="72"/>
    </row>
    <row r="3" spans="1:19" x14ac:dyDescent="0.3">
      <c r="A3" s="18" t="s">
        <v>417</v>
      </c>
      <c r="B3" s="18" t="s">
        <v>416</v>
      </c>
      <c r="F3" s="18" t="s">
        <v>417</v>
      </c>
      <c r="G3" s="18" t="s">
        <v>416</v>
      </c>
    </row>
    <row r="4" spans="1:19" x14ac:dyDescent="0.3">
      <c r="A4" s="18" t="s">
        <v>412</v>
      </c>
      <c r="B4" t="s">
        <v>419</v>
      </c>
      <c r="C4" t="s">
        <v>420</v>
      </c>
      <c r="D4" t="s">
        <v>413</v>
      </c>
      <c r="F4" s="18" t="s">
        <v>412</v>
      </c>
      <c r="G4" t="s">
        <v>419</v>
      </c>
      <c r="H4" t="s">
        <v>420</v>
      </c>
      <c r="I4" t="s">
        <v>413</v>
      </c>
    </row>
    <row r="5" spans="1:19" x14ac:dyDescent="0.3">
      <c r="A5" s="19" t="s">
        <v>257</v>
      </c>
      <c r="B5" s="73">
        <v>48</v>
      </c>
      <c r="C5" s="73">
        <v>83</v>
      </c>
      <c r="D5" s="73">
        <v>131</v>
      </c>
      <c r="F5" s="19" t="s">
        <v>257</v>
      </c>
      <c r="G5" s="20">
        <v>0.22748815165876776</v>
      </c>
      <c r="H5" s="20">
        <v>0.22554347826086957</v>
      </c>
      <c r="I5" s="20">
        <v>0.22625215889464595</v>
      </c>
    </row>
    <row r="6" spans="1:19" x14ac:dyDescent="0.3">
      <c r="A6" s="19" t="s">
        <v>15</v>
      </c>
      <c r="B6" s="73">
        <v>61</v>
      </c>
      <c r="C6" s="73">
        <v>134</v>
      </c>
      <c r="D6" s="73">
        <v>195</v>
      </c>
      <c r="F6" s="19" t="s">
        <v>15</v>
      </c>
      <c r="G6" s="20">
        <v>0.2890995260663507</v>
      </c>
      <c r="H6" s="20">
        <v>0.3641304347826087</v>
      </c>
      <c r="I6" s="20">
        <v>0.33678756476683935</v>
      </c>
    </row>
    <row r="7" spans="1:19" x14ac:dyDescent="0.3">
      <c r="A7" s="19" t="s">
        <v>27</v>
      </c>
      <c r="B7" s="73">
        <v>102</v>
      </c>
      <c r="C7" s="73">
        <v>151</v>
      </c>
      <c r="D7" s="73">
        <v>253</v>
      </c>
      <c r="F7" s="19" t="s">
        <v>27</v>
      </c>
      <c r="G7" s="20">
        <v>0.48341232227488151</v>
      </c>
      <c r="H7" s="20">
        <v>0.41032608695652173</v>
      </c>
      <c r="I7" s="20">
        <v>0.4369602763385147</v>
      </c>
    </row>
    <row r="8" spans="1:19" x14ac:dyDescent="0.3">
      <c r="A8" s="19" t="s">
        <v>413</v>
      </c>
      <c r="B8" s="73">
        <v>211</v>
      </c>
      <c r="C8" s="73">
        <v>368</v>
      </c>
      <c r="D8" s="73">
        <v>579</v>
      </c>
      <c r="F8" s="19" t="s">
        <v>413</v>
      </c>
      <c r="G8" s="20">
        <v>1</v>
      </c>
      <c r="H8" s="20">
        <v>1</v>
      </c>
      <c r="I8" s="20">
        <v>1</v>
      </c>
    </row>
    <row r="10" spans="1:19" x14ac:dyDescent="0.3">
      <c r="A10" s="66" t="s">
        <v>429</v>
      </c>
      <c r="B10" s="64"/>
      <c r="C10" s="64"/>
      <c r="D10" s="64"/>
      <c r="E10" s="64"/>
      <c r="F10" s="64"/>
      <c r="G10" s="64"/>
      <c r="H10" s="64"/>
      <c r="I10" s="64"/>
      <c r="J10" s="64"/>
      <c r="K10" s="64"/>
      <c r="L10" s="64"/>
      <c r="M10" s="64"/>
      <c r="N10" s="64"/>
      <c r="O10" s="64"/>
      <c r="P10" s="64"/>
      <c r="Q10" s="64"/>
      <c r="R10" s="64"/>
      <c r="S10" s="64"/>
    </row>
    <row r="11" spans="1:19" x14ac:dyDescent="0.3">
      <c r="A11" s="64"/>
      <c r="B11" s="64"/>
      <c r="C11" s="64"/>
      <c r="D11" s="64"/>
      <c r="E11" s="64"/>
      <c r="F11" s="64"/>
      <c r="G11" s="64"/>
      <c r="H11" s="64"/>
      <c r="I11" s="64"/>
      <c r="J11" s="64"/>
      <c r="K11" s="64"/>
      <c r="L11" s="64"/>
      <c r="M11" s="64"/>
      <c r="N11" s="64"/>
      <c r="O11" s="64"/>
      <c r="P11" s="64"/>
      <c r="Q11" s="64"/>
      <c r="R11" s="64"/>
      <c r="S11" s="64"/>
    </row>
    <row r="12" spans="1:19" x14ac:dyDescent="0.3">
      <c r="A12" s="64"/>
      <c r="B12" s="64"/>
      <c r="C12" s="64"/>
      <c r="D12" s="64"/>
      <c r="E12" s="64"/>
      <c r="F12" s="64"/>
      <c r="G12" s="64"/>
      <c r="H12" s="64"/>
      <c r="I12" s="64"/>
      <c r="J12" s="64"/>
      <c r="K12" s="64"/>
      <c r="L12" s="64"/>
      <c r="M12" s="64"/>
      <c r="N12" s="64"/>
      <c r="O12" s="64"/>
      <c r="P12" s="64"/>
      <c r="Q12" s="64"/>
      <c r="R12" s="64"/>
      <c r="S12" s="64"/>
    </row>
    <row r="13" spans="1:19" x14ac:dyDescent="0.3">
      <c r="A13" s="64"/>
      <c r="B13" s="64"/>
      <c r="C13" s="64"/>
      <c r="D13" s="64"/>
      <c r="E13" s="64"/>
      <c r="F13" s="64"/>
      <c r="G13" s="64"/>
      <c r="H13" s="64"/>
      <c r="I13" s="64"/>
      <c r="J13" s="64"/>
      <c r="K13" s="64"/>
      <c r="L13" s="64"/>
      <c r="M13" s="64"/>
      <c r="N13" s="64"/>
      <c r="O13" s="64"/>
      <c r="P13" s="64"/>
      <c r="Q13" s="64"/>
      <c r="R13" s="64"/>
      <c r="S13" s="64"/>
    </row>
    <row r="14" spans="1:19" x14ac:dyDescent="0.3">
      <c r="A14" s="64"/>
      <c r="B14" s="64"/>
      <c r="C14" s="64"/>
      <c r="D14" s="64"/>
      <c r="E14" s="64"/>
      <c r="F14" s="64"/>
      <c r="G14" s="64"/>
      <c r="H14" s="64"/>
      <c r="I14" s="64"/>
      <c r="J14" s="64"/>
      <c r="K14" s="64"/>
      <c r="L14" s="64"/>
      <c r="M14" s="64"/>
      <c r="N14" s="64"/>
      <c r="O14" s="64"/>
      <c r="P14" s="64"/>
      <c r="Q14" s="64"/>
      <c r="R14" s="64"/>
      <c r="S14" s="64"/>
    </row>
    <row r="15" spans="1:19" x14ac:dyDescent="0.3">
      <c r="A15" s="64"/>
      <c r="B15" s="64"/>
      <c r="C15" s="64"/>
      <c r="D15" s="64"/>
      <c r="E15" s="64"/>
      <c r="F15" s="64"/>
      <c r="G15" s="64"/>
      <c r="H15" s="64"/>
      <c r="I15" s="64"/>
      <c r="J15" s="64"/>
      <c r="K15" s="64"/>
      <c r="L15" s="64"/>
      <c r="M15" s="64"/>
      <c r="N15" s="64"/>
      <c r="O15" s="64"/>
      <c r="P15" s="64"/>
      <c r="Q15" s="64"/>
      <c r="R15" s="64"/>
      <c r="S15" s="64"/>
    </row>
    <row r="16" spans="1:19" x14ac:dyDescent="0.3">
      <c r="A16" s="64"/>
      <c r="B16" s="64"/>
      <c r="C16" s="64"/>
      <c r="D16" s="64"/>
      <c r="E16" s="64"/>
      <c r="F16" s="64"/>
      <c r="G16" s="64"/>
      <c r="H16" s="64"/>
      <c r="I16" s="64"/>
      <c r="J16" s="64"/>
      <c r="K16" s="64"/>
      <c r="L16" s="64"/>
      <c r="M16" s="64"/>
      <c r="N16" s="64"/>
      <c r="O16" s="64"/>
      <c r="P16" s="64"/>
      <c r="Q16" s="64"/>
      <c r="R16" s="64"/>
      <c r="S16" s="64"/>
    </row>
    <row r="17" spans="1:19" x14ac:dyDescent="0.3">
      <c r="A17" s="64"/>
      <c r="B17" s="64"/>
      <c r="C17" s="64"/>
      <c r="D17" s="64"/>
      <c r="E17" s="64"/>
      <c r="F17" s="64"/>
      <c r="G17" s="64"/>
      <c r="H17" s="64"/>
      <c r="I17" s="64"/>
      <c r="J17" s="64"/>
      <c r="K17" s="64"/>
      <c r="L17" s="64"/>
      <c r="M17" s="64"/>
      <c r="N17" s="64"/>
      <c r="O17" s="64"/>
      <c r="P17" s="64"/>
      <c r="Q17" s="64"/>
      <c r="R17" s="64"/>
      <c r="S17" s="64"/>
    </row>
    <row r="18" spans="1:19" x14ac:dyDescent="0.3">
      <c r="A18" s="64"/>
      <c r="B18" s="64"/>
      <c r="C18" s="64"/>
      <c r="D18" s="64"/>
      <c r="E18" s="64"/>
      <c r="F18" s="64"/>
      <c r="G18" s="64"/>
      <c r="H18" s="64"/>
      <c r="I18" s="64"/>
      <c r="J18" s="64"/>
      <c r="K18" s="64"/>
      <c r="L18" s="64"/>
      <c r="M18" s="64"/>
      <c r="N18" s="64"/>
      <c r="O18" s="64"/>
      <c r="P18" s="64"/>
      <c r="Q18" s="64"/>
      <c r="R18" s="64"/>
      <c r="S18" s="64"/>
    </row>
    <row r="19" spans="1:19" x14ac:dyDescent="0.3">
      <c r="A19" s="64"/>
      <c r="B19" s="64"/>
      <c r="C19" s="64"/>
      <c r="D19" s="64"/>
      <c r="E19" s="64"/>
      <c r="F19" s="64"/>
      <c r="G19" s="64"/>
      <c r="H19" s="64"/>
      <c r="I19" s="64"/>
      <c r="J19" s="64"/>
      <c r="K19" s="64"/>
      <c r="L19" s="64"/>
      <c r="M19" s="64"/>
      <c r="N19" s="64"/>
      <c r="O19" s="64"/>
      <c r="P19" s="64"/>
      <c r="Q19" s="64"/>
      <c r="R19" s="64"/>
      <c r="S19" s="64"/>
    </row>
    <row r="20" spans="1:19" x14ac:dyDescent="0.3">
      <c r="A20" s="64"/>
      <c r="B20" s="64"/>
      <c r="C20" s="64"/>
      <c r="D20" s="64"/>
      <c r="E20" s="64"/>
      <c r="F20" s="64"/>
      <c r="G20" s="64"/>
      <c r="H20" s="64"/>
      <c r="I20" s="64"/>
      <c r="J20" s="64"/>
      <c r="K20" s="64"/>
      <c r="L20" s="64"/>
      <c r="M20" s="64"/>
      <c r="N20" s="64"/>
      <c r="O20" s="64"/>
      <c r="P20" s="64"/>
      <c r="Q20" s="64"/>
      <c r="R20" s="64"/>
      <c r="S20" s="64"/>
    </row>
    <row r="21" spans="1:19" x14ac:dyDescent="0.3">
      <c r="A21" s="64"/>
      <c r="B21" s="64"/>
      <c r="C21" s="64"/>
      <c r="D21" s="64"/>
      <c r="E21" s="64"/>
      <c r="F21" s="64"/>
      <c r="G21" s="64"/>
      <c r="H21" s="64"/>
      <c r="I21" s="64"/>
      <c r="J21" s="64"/>
      <c r="K21" s="64"/>
      <c r="L21" s="64"/>
      <c r="M21" s="64"/>
      <c r="N21" s="64"/>
      <c r="O21" s="64"/>
      <c r="P21" s="64"/>
      <c r="Q21" s="64"/>
      <c r="R21" s="64"/>
      <c r="S21" s="64"/>
    </row>
    <row r="22" spans="1:19" x14ac:dyDescent="0.3">
      <c r="A22" s="64"/>
      <c r="B22" s="64"/>
      <c r="C22" s="64"/>
      <c r="D22" s="64"/>
      <c r="E22" s="64"/>
      <c r="F22" s="64"/>
      <c r="G22" s="64"/>
      <c r="H22" s="64"/>
      <c r="I22" s="64"/>
      <c r="J22" s="64"/>
      <c r="K22" s="64"/>
      <c r="L22" s="64"/>
      <c r="M22" s="64"/>
      <c r="N22" s="64"/>
      <c r="O22" s="64"/>
      <c r="P22" s="64"/>
      <c r="Q22" s="64"/>
      <c r="R22" s="64"/>
      <c r="S22" s="64"/>
    </row>
    <row r="23" spans="1:19" x14ac:dyDescent="0.3">
      <c r="A23" s="64"/>
      <c r="B23" s="64"/>
      <c r="C23" s="64"/>
      <c r="D23" s="64"/>
      <c r="E23" s="64"/>
      <c r="F23" s="64"/>
      <c r="G23" s="64"/>
      <c r="H23" s="64"/>
      <c r="I23" s="64"/>
      <c r="J23" s="64"/>
      <c r="K23" s="64"/>
      <c r="L23" s="64"/>
      <c r="M23" s="64"/>
      <c r="N23" s="64"/>
      <c r="O23" s="64"/>
      <c r="P23" s="64"/>
      <c r="Q23" s="64"/>
      <c r="R23" s="64"/>
      <c r="S23" s="64"/>
    </row>
    <row r="24" spans="1:19" x14ac:dyDescent="0.3">
      <c r="A24" s="64"/>
      <c r="B24" s="64"/>
      <c r="C24" s="64"/>
      <c r="D24" s="64"/>
      <c r="E24" s="64"/>
      <c r="F24" s="64"/>
      <c r="G24" s="64"/>
      <c r="H24" s="64"/>
      <c r="I24" s="64"/>
      <c r="J24" s="64"/>
      <c r="K24" s="64"/>
      <c r="L24" s="64"/>
      <c r="M24" s="64"/>
      <c r="N24" s="64"/>
      <c r="O24" s="64"/>
      <c r="P24" s="64"/>
      <c r="Q24" s="64"/>
      <c r="R24" s="64"/>
      <c r="S24" s="64"/>
    </row>
    <row r="25" spans="1:19" x14ac:dyDescent="0.3">
      <c r="A25" s="64"/>
      <c r="B25" s="64"/>
      <c r="C25" s="64"/>
      <c r="D25" s="64"/>
      <c r="E25" s="64"/>
      <c r="F25" s="64"/>
      <c r="G25" s="64"/>
      <c r="H25" s="64"/>
      <c r="I25" s="64"/>
      <c r="J25" s="64"/>
      <c r="K25" s="64"/>
      <c r="L25" s="64"/>
      <c r="M25" s="64"/>
      <c r="N25" s="64"/>
      <c r="O25" s="64"/>
      <c r="P25" s="64"/>
      <c r="Q25" s="64"/>
      <c r="R25" s="64"/>
      <c r="S25" s="64"/>
    </row>
    <row r="26" spans="1:19" x14ac:dyDescent="0.3">
      <c r="A26" s="64"/>
      <c r="B26" s="64"/>
      <c r="C26" s="64"/>
      <c r="D26" s="64"/>
      <c r="E26" s="64"/>
      <c r="F26" s="64"/>
      <c r="G26" s="64"/>
      <c r="H26" s="64"/>
      <c r="I26" s="64"/>
      <c r="J26" s="64"/>
      <c r="K26" s="64"/>
      <c r="L26" s="64"/>
      <c r="M26" s="64"/>
      <c r="N26" s="64"/>
      <c r="O26" s="64"/>
      <c r="P26" s="64"/>
      <c r="Q26" s="64"/>
      <c r="R26" s="64"/>
      <c r="S26" s="64"/>
    </row>
    <row r="27" spans="1:19" x14ac:dyDescent="0.3">
      <c r="A27" s="64"/>
      <c r="B27" s="64"/>
      <c r="C27" s="64"/>
      <c r="D27" s="64"/>
      <c r="E27" s="64"/>
      <c r="F27" s="64"/>
      <c r="G27" s="64"/>
      <c r="H27" s="64"/>
      <c r="I27" s="64"/>
      <c r="J27" s="64"/>
      <c r="K27" s="64"/>
      <c r="L27" s="64"/>
      <c r="M27" s="64"/>
      <c r="N27" s="64"/>
      <c r="O27" s="64"/>
      <c r="P27" s="64"/>
      <c r="Q27" s="64"/>
      <c r="R27" s="64"/>
      <c r="S27" s="64"/>
    </row>
  </sheetData>
  <mergeCells count="2">
    <mergeCell ref="A10:S27"/>
    <mergeCell ref="A1:B1"/>
  </mergeCells>
  <hyperlinks>
    <hyperlink ref="A1:B1" location="Interactive_Dashboard!A1" tooltip="Dashboard" display="&lt; Back to Dashboard" xr:uid="{36519354-E1F0-462E-BF7B-6BCF92F2BD8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D5C39-2C44-4382-9F2C-9EE557E9DC3A}">
  <dimension ref="A1:U61"/>
  <sheetViews>
    <sheetView zoomScale="95" zoomScaleNormal="95" workbookViewId="0">
      <selection sqref="A1:B1"/>
    </sheetView>
  </sheetViews>
  <sheetFormatPr defaultRowHeight="14.4" x14ac:dyDescent="0.3"/>
  <cols>
    <col min="1" max="1" width="14.88671875" bestFit="1" customWidth="1"/>
    <col min="2" max="2" width="15.88671875" bestFit="1" customWidth="1"/>
    <col min="3" max="3" width="8.88671875" bestFit="1" customWidth="1"/>
    <col min="4" max="4" width="8.33203125" bestFit="1" customWidth="1"/>
    <col min="5" max="5" width="10.5546875" bestFit="1" customWidth="1"/>
    <col min="8" max="8" width="13.88671875" bestFit="1" customWidth="1"/>
    <col min="9" max="9" width="13.33203125" bestFit="1" customWidth="1"/>
    <col min="12" max="12" width="13.88671875" bestFit="1" customWidth="1"/>
    <col min="13" max="13" width="15.88671875" bestFit="1" customWidth="1"/>
    <col min="14" max="14" width="8.88671875" bestFit="1" customWidth="1"/>
    <col min="15" max="15" width="5.44140625" bestFit="1" customWidth="1"/>
    <col min="16" max="16" width="10.5546875" bestFit="1" customWidth="1"/>
  </cols>
  <sheetData>
    <row r="1" spans="1:21" ht="18" x14ac:dyDescent="0.35">
      <c r="A1" s="72" t="s">
        <v>445</v>
      </c>
      <c r="B1" s="72"/>
    </row>
    <row r="3" spans="1:21" x14ac:dyDescent="0.3">
      <c r="A3" s="18" t="s">
        <v>412</v>
      </c>
      <c r="B3" t="s">
        <v>414</v>
      </c>
      <c r="F3" s="64" t="s">
        <v>431</v>
      </c>
      <c r="G3" s="64"/>
      <c r="H3" s="64"/>
      <c r="I3" s="64"/>
      <c r="J3" s="64"/>
      <c r="K3" s="64"/>
      <c r="L3" s="64"/>
      <c r="M3" s="64"/>
      <c r="N3" s="64"/>
      <c r="O3" s="64"/>
      <c r="P3" s="64"/>
      <c r="Q3" s="64"/>
      <c r="R3" s="64"/>
      <c r="S3" s="64"/>
      <c r="T3" s="64"/>
      <c r="U3" s="64"/>
    </row>
    <row r="4" spans="1:21" x14ac:dyDescent="0.3">
      <c r="A4" s="21" t="s">
        <v>287</v>
      </c>
      <c r="B4" s="24">
        <v>28480</v>
      </c>
      <c r="F4" s="64"/>
      <c r="G4" s="64"/>
      <c r="H4" s="64"/>
      <c r="I4" s="64"/>
      <c r="J4" s="64"/>
      <c r="K4" s="64"/>
      <c r="L4" s="64"/>
      <c r="M4" s="64"/>
      <c r="N4" s="64"/>
      <c r="O4" s="64"/>
      <c r="P4" s="64"/>
      <c r="Q4" s="64"/>
      <c r="R4" s="64"/>
      <c r="S4" s="64"/>
      <c r="T4" s="64"/>
      <c r="U4" s="64"/>
    </row>
    <row r="5" spans="1:21" x14ac:dyDescent="0.3">
      <c r="A5" s="21" t="s">
        <v>298</v>
      </c>
      <c r="B5" s="24">
        <v>26570</v>
      </c>
      <c r="F5" s="64"/>
      <c r="G5" s="64"/>
      <c r="H5" s="64"/>
      <c r="I5" s="64"/>
      <c r="J5" s="64"/>
      <c r="K5" s="64"/>
      <c r="L5" s="64"/>
      <c r="M5" s="64"/>
      <c r="N5" s="64"/>
      <c r="O5" s="64"/>
      <c r="P5" s="64"/>
      <c r="Q5" s="64"/>
      <c r="R5" s="64"/>
      <c r="S5" s="64"/>
      <c r="T5" s="64"/>
      <c r="U5" s="64"/>
    </row>
    <row r="6" spans="1:21" x14ac:dyDescent="0.3">
      <c r="A6" s="21" t="s">
        <v>290</v>
      </c>
      <c r="B6" s="24">
        <v>23950</v>
      </c>
      <c r="F6" s="64"/>
      <c r="G6" s="64"/>
      <c r="H6" s="64"/>
      <c r="I6" s="64"/>
      <c r="J6" s="64"/>
      <c r="K6" s="64"/>
      <c r="L6" s="64"/>
      <c r="M6" s="64"/>
      <c r="N6" s="64"/>
      <c r="O6" s="64"/>
      <c r="P6" s="64"/>
      <c r="Q6" s="64"/>
      <c r="R6" s="64"/>
      <c r="S6" s="64"/>
      <c r="T6" s="64"/>
      <c r="U6" s="64"/>
    </row>
    <row r="7" spans="1:21" x14ac:dyDescent="0.3">
      <c r="A7" s="21" t="s">
        <v>300</v>
      </c>
      <c r="B7" s="24">
        <v>23160</v>
      </c>
      <c r="F7" s="64"/>
      <c r="G7" s="64"/>
      <c r="H7" s="64"/>
      <c r="I7" s="64"/>
      <c r="J7" s="64"/>
      <c r="K7" s="64"/>
      <c r="L7" s="64"/>
      <c r="M7" s="64"/>
      <c r="N7" s="64"/>
      <c r="O7" s="64"/>
      <c r="P7" s="64"/>
      <c r="Q7" s="64"/>
      <c r="R7" s="64"/>
      <c r="S7" s="64"/>
      <c r="T7" s="64"/>
      <c r="U7" s="64"/>
    </row>
    <row r="8" spans="1:21" x14ac:dyDescent="0.3">
      <c r="A8" s="21" t="s">
        <v>296</v>
      </c>
      <c r="B8" s="24">
        <v>23120</v>
      </c>
      <c r="F8" s="64"/>
      <c r="G8" s="64"/>
      <c r="H8" s="64"/>
      <c r="I8" s="64"/>
      <c r="J8" s="64"/>
      <c r="K8" s="64"/>
      <c r="L8" s="64"/>
      <c r="M8" s="64"/>
      <c r="N8" s="64"/>
      <c r="O8" s="64"/>
      <c r="P8" s="64"/>
      <c r="Q8" s="64"/>
      <c r="R8" s="64"/>
      <c r="S8" s="64"/>
      <c r="T8" s="64"/>
      <c r="U8" s="64"/>
    </row>
    <row r="9" spans="1:21" x14ac:dyDescent="0.3">
      <c r="A9" s="19" t="s">
        <v>293</v>
      </c>
      <c r="B9" s="25">
        <v>19680</v>
      </c>
      <c r="F9" s="64"/>
      <c r="G9" s="64"/>
      <c r="H9" s="64"/>
      <c r="I9" s="64"/>
      <c r="J9" s="64"/>
      <c r="K9" s="64"/>
      <c r="L9" s="64"/>
      <c r="M9" s="64"/>
      <c r="N9" s="64"/>
      <c r="O9" s="64"/>
      <c r="P9" s="64"/>
      <c r="Q9" s="64"/>
      <c r="R9" s="64"/>
      <c r="S9" s="64"/>
      <c r="T9" s="64"/>
      <c r="U9" s="64"/>
    </row>
    <row r="10" spans="1:21" x14ac:dyDescent="0.3">
      <c r="A10" s="19" t="s">
        <v>284</v>
      </c>
      <c r="B10" s="25">
        <v>3150</v>
      </c>
      <c r="F10" s="64"/>
      <c r="G10" s="64"/>
      <c r="H10" s="64"/>
      <c r="I10" s="64"/>
      <c r="J10" s="64"/>
      <c r="K10" s="64"/>
      <c r="L10" s="64"/>
      <c r="M10" s="64"/>
      <c r="N10" s="64"/>
      <c r="O10" s="64"/>
      <c r="P10" s="64"/>
      <c r="Q10" s="64"/>
      <c r="R10" s="64"/>
      <c r="S10" s="64"/>
      <c r="T10" s="64"/>
      <c r="U10" s="64"/>
    </row>
    <row r="11" spans="1:21" x14ac:dyDescent="0.3">
      <c r="A11" s="19" t="s">
        <v>421</v>
      </c>
      <c r="B11" s="25">
        <v>2520</v>
      </c>
      <c r="F11" s="23"/>
      <c r="G11" s="23"/>
      <c r="H11" s="23"/>
      <c r="I11" s="23"/>
      <c r="J11" s="23"/>
      <c r="K11" s="23"/>
      <c r="L11" s="23"/>
      <c r="M11" s="23"/>
      <c r="N11" s="23"/>
      <c r="O11" s="23"/>
      <c r="P11" s="23"/>
      <c r="Q11" s="23"/>
      <c r="R11" s="23"/>
      <c r="S11" s="23"/>
      <c r="T11" s="23"/>
      <c r="U11" s="23"/>
    </row>
    <row r="12" spans="1:21" x14ac:dyDescent="0.3">
      <c r="A12" s="19" t="s">
        <v>252</v>
      </c>
      <c r="B12" s="25">
        <v>1860</v>
      </c>
      <c r="F12" s="64" t="s">
        <v>430</v>
      </c>
      <c r="G12" s="64"/>
      <c r="H12" s="64"/>
      <c r="I12" s="64"/>
      <c r="J12" s="64"/>
      <c r="K12" s="64"/>
      <c r="L12" s="64"/>
      <c r="M12" s="64"/>
      <c r="N12" s="64"/>
      <c r="O12" s="64"/>
      <c r="P12" s="64"/>
      <c r="Q12" s="64"/>
      <c r="R12" s="64"/>
      <c r="S12" s="64"/>
      <c r="T12" s="64"/>
      <c r="U12" s="64"/>
    </row>
    <row r="13" spans="1:21" x14ac:dyDescent="0.3">
      <c r="A13" s="19" t="s">
        <v>281</v>
      </c>
      <c r="B13" s="25">
        <v>1680</v>
      </c>
      <c r="F13" s="64"/>
      <c r="G13" s="64"/>
      <c r="H13" s="64"/>
      <c r="I13" s="64"/>
      <c r="J13" s="64"/>
      <c r="K13" s="64"/>
      <c r="L13" s="64"/>
      <c r="M13" s="64"/>
      <c r="N13" s="64"/>
      <c r="O13" s="64"/>
      <c r="P13" s="64"/>
      <c r="Q13" s="64"/>
      <c r="R13" s="64"/>
      <c r="S13" s="64"/>
      <c r="T13" s="64"/>
      <c r="U13" s="64"/>
    </row>
    <row r="14" spans="1:21" x14ac:dyDescent="0.3">
      <c r="A14" s="19" t="s">
        <v>267</v>
      </c>
      <c r="B14" s="25">
        <v>1550</v>
      </c>
      <c r="F14" s="64"/>
      <c r="G14" s="64"/>
      <c r="H14" s="64"/>
      <c r="I14" s="64"/>
      <c r="J14" s="64"/>
      <c r="K14" s="64"/>
      <c r="L14" s="64"/>
      <c r="M14" s="64"/>
      <c r="N14" s="64"/>
      <c r="O14" s="64"/>
      <c r="P14" s="64"/>
      <c r="Q14" s="64"/>
      <c r="R14" s="64"/>
      <c r="S14" s="64"/>
      <c r="T14" s="64"/>
      <c r="U14" s="64"/>
    </row>
    <row r="15" spans="1:21" x14ac:dyDescent="0.3">
      <c r="A15" s="19" t="s">
        <v>261</v>
      </c>
      <c r="B15" s="25">
        <v>1030</v>
      </c>
      <c r="F15" s="64"/>
      <c r="G15" s="64"/>
      <c r="H15" s="64"/>
      <c r="I15" s="64"/>
      <c r="J15" s="64"/>
      <c r="K15" s="64"/>
      <c r="L15" s="64"/>
      <c r="M15" s="64"/>
      <c r="N15" s="64"/>
      <c r="O15" s="64"/>
      <c r="P15" s="64"/>
      <c r="Q15" s="64"/>
      <c r="R15" s="64"/>
      <c r="S15" s="64"/>
      <c r="T15" s="64"/>
      <c r="U15" s="64"/>
    </row>
    <row r="16" spans="1:21" x14ac:dyDescent="0.3">
      <c r="A16" s="19" t="s">
        <v>258</v>
      </c>
      <c r="B16" s="25">
        <v>650</v>
      </c>
      <c r="F16" s="64"/>
      <c r="G16" s="64"/>
      <c r="H16" s="64"/>
      <c r="I16" s="64"/>
      <c r="J16" s="64"/>
      <c r="K16" s="64"/>
      <c r="L16" s="64"/>
      <c r="M16" s="64"/>
      <c r="N16" s="64"/>
      <c r="O16" s="64"/>
      <c r="P16" s="64"/>
      <c r="Q16" s="64"/>
      <c r="R16" s="64"/>
      <c r="S16" s="64"/>
      <c r="T16" s="64"/>
      <c r="U16" s="64"/>
    </row>
    <row r="17" spans="1:21" x14ac:dyDescent="0.3">
      <c r="A17" s="19" t="s">
        <v>254</v>
      </c>
      <c r="B17" s="25">
        <v>530</v>
      </c>
      <c r="F17" s="64"/>
      <c r="G17" s="64"/>
      <c r="H17" s="64"/>
      <c r="I17" s="64"/>
      <c r="J17" s="64"/>
      <c r="K17" s="64"/>
      <c r="L17" s="64"/>
      <c r="M17" s="64"/>
      <c r="N17" s="64"/>
      <c r="O17" s="64"/>
      <c r="P17" s="64"/>
      <c r="Q17" s="64"/>
      <c r="R17" s="64"/>
      <c r="S17" s="64"/>
      <c r="T17" s="64"/>
      <c r="U17" s="64"/>
    </row>
    <row r="18" spans="1:21" x14ac:dyDescent="0.3">
      <c r="A18" s="19" t="s">
        <v>28</v>
      </c>
      <c r="B18" s="25">
        <v>480</v>
      </c>
      <c r="F18" s="64"/>
      <c r="G18" s="64"/>
      <c r="H18" s="64"/>
      <c r="I18" s="64"/>
      <c r="J18" s="64"/>
      <c r="K18" s="64"/>
      <c r="L18" s="64"/>
      <c r="M18" s="64"/>
      <c r="N18" s="64"/>
      <c r="O18" s="64"/>
      <c r="P18" s="64"/>
      <c r="Q18" s="64"/>
      <c r="R18" s="64"/>
      <c r="S18" s="64"/>
      <c r="T18" s="64"/>
      <c r="U18" s="64"/>
    </row>
    <row r="19" spans="1:21" x14ac:dyDescent="0.3">
      <c r="A19" s="19" t="s">
        <v>413</v>
      </c>
      <c r="B19" s="25">
        <v>158410</v>
      </c>
      <c r="F19" s="64"/>
      <c r="G19" s="64"/>
      <c r="H19" s="64"/>
      <c r="I19" s="64"/>
      <c r="J19" s="64"/>
      <c r="K19" s="64"/>
      <c r="L19" s="64"/>
      <c r="M19" s="64"/>
      <c r="N19" s="64"/>
      <c r="O19" s="64"/>
      <c r="P19" s="64"/>
      <c r="Q19" s="64"/>
      <c r="R19" s="64"/>
      <c r="S19" s="64"/>
      <c r="T19" s="64"/>
      <c r="U19" s="64"/>
    </row>
    <row r="22" spans="1:21" x14ac:dyDescent="0.3">
      <c r="G22" s="64" t="s">
        <v>432</v>
      </c>
      <c r="H22" s="64"/>
      <c r="I22" s="64"/>
      <c r="J22" s="64"/>
      <c r="K22" s="64"/>
      <c r="L22" s="64"/>
      <c r="M22" s="64"/>
      <c r="N22" s="64"/>
      <c r="O22" s="64"/>
      <c r="P22" s="64"/>
      <c r="Q22" s="64"/>
      <c r="R22" s="64"/>
      <c r="S22" s="64"/>
      <c r="T22" s="64"/>
      <c r="U22" s="64"/>
    </row>
    <row r="23" spans="1:21" x14ac:dyDescent="0.3">
      <c r="G23" s="64"/>
      <c r="H23" s="64"/>
      <c r="I23" s="64"/>
      <c r="J23" s="64"/>
      <c r="K23" s="64"/>
      <c r="L23" s="64"/>
      <c r="M23" s="64"/>
      <c r="N23" s="64"/>
      <c r="O23" s="64"/>
      <c r="P23" s="64"/>
      <c r="Q23" s="64"/>
      <c r="R23" s="64"/>
      <c r="S23" s="64"/>
      <c r="T23" s="64"/>
      <c r="U23" s="64"/>
    </row>
    <row r="24" spans="1:21" x14ac:dyDescent="0.3">
      <c r="A24" s="18" t="s">
        <v>417</v>
      </c>
      <c r="B24" s="18" t="s">
        <v>416</v>
      </c>
      <c r="G24" s="64"/>
      <c r="H24" s="64"/>
      <c r="I24" s="64"/>
      <c r="J24" s="64"/>
      <c r="K24" s="64"/>
      <c r="L24" s="64"/>
      <c r="M24" s="64"/>
      <c r="N24" s="64"/>
      <c r="O24" s="64"/>
      <c r="P24" s="64"/>
      <c r="Q24" s="64"/>
      <c r="R24" s="64"/>
      <c r="S24" s="64"/>
      <c r="T24" s="64"/>
      <c r="U24" s="64"/>
    </row>
    <row r="25" spans="1:21" x14ac:dyDescent="0.3">
      <c r="A25" s="18" t="s">
        <v>412</v>
      </c>
      <c r="B25" t="s">
        <v>257</v>
      </c>
      <c r="C25" t="s">
        <v>15</v>
      </c>
      <c r="D25" t="s">
        <v>27</v>
      </c>
      <c r="E25" t="s">
        <v>413</v>
      </c>
      <c r="G25" s="64"/>
      <c r="H25" s="64"/>
      <c r="I25" s="64"/>
      <c r="J25" s="64"/>
      <c r="K25" s="64"/>
      <c r="L25" s="64"/>
      <c r="M25" s="64"/>
      <c r="N25" s="64"/>
      <c r="O25" s="64"/>
      <c r="P25" s="64"/>
      <c r="Q25" s="64"/>
      <c r="R25" s="64"/>
      <c r="S25" s="64"/>
      <c r="T25" s="64"/>
      <c r="U25" s="64"/>
    </row>
    <row r="26" spans="1:21" x14ac:dyDescent="0.3">
      <c r="A26" s="19" t="s">
        <v>298</v>
      </c>
      <c r="B26" s="74">
        <v>23</v>
      </c>
      <c r="C26" s="73">
        <v>33</v>
      </c>
      <c r="D26" s="73">
        <v>31</v>
      </c>
      <c r="E26" s="73">
        <v>87</v>
      </c>
      <c r="G26" s="64"/>
      <c r="H26" s="64"/>
      <c r="I26" s="64"/>
      <c r="J26" s="64"/>
      <c r="K26" s="64"/>
      <c r="L26" s="64"/>
      <c r="M26" s="64"/>
      <c r="N26" s="64"/>
      <c r="O26" s="64"/>
      <c r="P26" s="64"/>
      <c r="Q26" s="64"/>
      <c r="R26" s="64"/>
      <c r="S26" s="64"/>
      <c r="T26" s="64"/>
      <c r="U26" s="64"/>
    </row>
    <row r="27" spans="1:21" x14ac:dyDescent="0.3">
      <c r="A27" s="19" t="s">
        <v>296</v>
      </c>
      <c r="B27" s="74">
        <v>23</v>
      </c>
      <c r="C27" s="73">
        <v>11</v>
      </c>
      <c r="D27" s="73">
        <v>53</v>
      </c>
      <c r="E27" s="73">
        <v>87</v>
      </c>
      <c r="G27" s="64"/>
      <c r="H27" s="64"/>
      <c r="I27" s="64"/>
      <c r="J27" s="64"/>
      <c r="K27" s="64"/>
      <c r="L27" s="64"/>
      <c r="M27" s="64"/>
      <c r="N27" s="64"/>
      <c r="O27" s="64"/>
      <c r="P27" s="64"/>
      <c r="Q27" s="64"/>
      <c r="R27" s="64"/>
      <c r="S27" s="64"/>
      <c r="T27" s="64"/>
      <c r="U27" s="64"/>
    </row>
    <row r="28" spans="1:21" x14ac:dyDescent="0.3">
      <c r="A28" s="19" t="s">
        <v>290</v>
      </c>
      <c r="B28" s="74">
        <v>22</v>
      </c>
      <c r="C28" s="73">
        <v>33</v>
      </c>
      <c r="D28" s="73">
        <v>39</v>
      </c>
      <c r="E28" s="73">
        <v>94</v>
      </c>
      <c r="G28" s="64"/>
      <c r="H28" s="64"/>
      <c r="I28" s="64"/>
      <c r="J28" s="64"/>
      <c r="K28" s="64"/>
      <c r="L28" s="64"/>
      <c r="M28" s="64"/>
      <c r="N28" s="64"/>
      <c r="O28" s="64"/>
      <c r="P28" s="64"/>
      <c r="Q28" s="64"/>
      <c r="R28" s="64"/>
      <c r="S28" s="64"/>
      <c r="T28" s="64"/>
      <c r="U28" s="64"/>
    </row>
    <row r="29" spans="1:21" x14ac:dyDescent="0.3">
      <c r="A29" s="19" t="s">
        <v>300</v>
      </c>
      <c r="B29" s="74">
        <v>22</v>
      </c>
      <c r="C29" s="73">
        <v>26</v>
      </c>
      <c r="D29" s="73">
        <v>38</v>
      </c>
      <c r="E29" s="73">
        <v>86</v>
      </c>
      <c r="G29" s="64"/>
      <c r="H29" s="64"/>
      <c r="I29" s="64"/>
      <c r="J29" s="64"/>
      <c r="K29" s="64"/>
      <c r="L29" s="64"/>
      <c r="M29" s="64"/>
      <c r="N29" s="64"/>
      <c r="O29" s="64"/>
      <c r="P29" s="64"/>
      <c r="Q29" s="64"/>
      <c r="R29" s="64"/>
      <c r="S29" s="64"/>
      <c r="T29" s="64"/>
      <c r="U29" s="64"/>
    </row>
    <row r="30" spans="1:21" x14ac:dyDescent="0.3">
      <c r="A30" s="19" t="s">
        <v>287</v>
      </c>
      <c r="B30" s="74">
        <v>18</v>
      </c>
      <c r="C30" s="73">
        <v>40</v>
      </c>
      <c r="D30" s="73">
        <v>37</v>
      </c>
      <c r="E30" s="73">
        <v>95</v>
      </c>
      <c r="G30" s="64"/>
      <c r="H30" s="64"/>
      <c r="I30" s="64"/>
      <c r="J30" s="64"/>
      <c r="K30" s="64"/>
      <c r="L30" s="64"/>
      <c r="M30" s="64"/>
      <c r="N30" s="64"/>
      <c r="O30" s="64"/>
      <c r="P30" s="64"/>
      <c r="Q30" s="64"/>
      <c r="R30" s="64"/>
      <c r="S30" s="64"/>
      <c r="T30" s="64"/>
      <c r="U30" s="64"/>
    </row>
    <row r="31" spans="1:21" x14ac:dyDescent="0.3">
      <c r="A31" s="19" t="s">
        <v>293</v>
      </c>
      <c r="B31" s="73">
        <v>17</v>
      </c>
      <c r="C31" s="73">
        <v>35</v>
      </c>
      <c r="D31" s="73">
        <v>37</v>
      </c>
      <c r="E31" s="73">
        <v>89</v>
      </c>
      <c r="G31" s="64"/>
      <c r="H31" s="64"/>
      <c r="I31" s="64"/>
      <c r="J31" s="64"/>
      <c r="K31" s="64"/>
      <c r="L31" s="64"/>
      <c r="M31" s="64"/>
      <c r="N31" s="64"/>
      <c r="O31" s="64"/>
      <c r="P31" s="64"/>
      <c r="Q31" s="64"/>
      <c r="R31" s="64"/>
      <c r="S31" s="64"/>
      <c r="T31" s="64"/>
      <c r="U31" s="64"/>
    </row>
    <row r="32" spans="1:21" x14ac:dyDescent="0.3">
      <c r="A32" s="19" t="s">
        <v>252</v>
      </c>
      <c r="B32" s="73">
        <v>4</v>
      </c>
      <c r="C32" s="73"/>
      <c r="D32" s="73">
        <v>1</v>
      </c>
      <c r="E32" s="73">
        <v>5</v>
      </c>
      <c r="G32" s="64"/>
      <c r="H32" s="64"/>
      <c r="I32" s="64"/>
      <c r="J32" s="64"/>
      <c r="K32" s="64"/>
      <c r="L32" s="64"/>
      <c r="M32" s="64"/>
      <c r="N32" s="64"/>
      <c r="O32" s="64"/>
      <c r="P32" s="64"/>
      <c r="Q32" s="64"/>
      <c r="R32" s="64"/>
      <c r="S32" s="64"/>
      <c r="T32" s="64"/>
      <c r="U32" s="64"/>
    </row>
    <row r="33" spans="1:21" x14ac:dyDescent="0.3">
      <c r="A33" s="19" t="s">
        <v>258</v>
      </c>
      <c r="B33" s="73">
        <v>2</v>
      </c>
      <c r="C33" s="73"/>
      <c r="D33" s="73"/>
      <c r="E33" s="73">
        <v>2</v>
      </c>
      <c r="G33" s="64"/>
      <c r="H33" s="64"/>
      <c r="I33" s="64"/>
      <c r="J33" s="64"/>
      <c r="K33" s="64"/>
      <c r="L33" s="64"/>
      <c r="M33" s="64"/>
      <c r="N33" s="64"/>
      <c r="O33" s="64"/>
      <c r="P33" s="64"/>
      <c r="Q33" s="64"/>
      <c r="R33" s="64"/>
      <c r="S33" s="64"/>
      <c r="T33" s="64"/>
      <c r="U33" s="64"/>
    </row>
    <row r="34" spans="1:21" x14ac:dyDescent="0.3">
      <c r="A34" s="19" t="s">
        <v>267</v>
      </c>
      <c r="B34" s="73"/>
      <c r="C34" s="73">
        <v>4</v>
      </c>
      <c r="D34" s="73"/>
      <c r="E34" s="73">
        <v>4</v>
      </c>
      <c r="G34" s="64"/>
      <c r="H34" s="64"/>
      <c r="I34" s="64"/>
      <c r="J34" s="64"/>
      <c r="K34" s="64"/>
      <c r="L34" s="64"/>
      <c r="M34" s="64"/>
      <c r="N34" s="64"/>
      <c r="O34" s="64"/>
      <c r="P34" s="64"/>
      <c r="Q34" s="64"/>
      <c r="R34" s="64"/>
      <c r="S34" s="64"/>
      <c r="T34" s="64"/>
      <c r="U34" s="64"/>
    </row>
    <row r="35" spans="1:21" x14ac:dyDescent="0.3">
      <c r="A35" s="19" t="s">
        <v>261</v>
      </c>
      <c r="B35" s="73"/>
      <c r="C35" s="73"/>
      <c r="D35" s="73">
        <v>4</v>
      </c>
      <c r="E35" s="73">
        <v>4</v>
      </c>
      <c r="G35" s="64"/>
      <c r="H35" s="64"/>
      <c r="I35" s="64"/>
      <c r="J35" s="64"/>
      <c r="K35" s="64"/>
      <c r="L35" s="64"/>
      <c r="M35" s="64"/>
      <c r="N35" s="64"/>
      <c r="O35" s="64"/>
      <c r="P35" s="64"/>
      <c r="Q35" s="64"/>
      <c r="R35" s="64"/>
      <c r="S35" s="64"/>
      <c r="T35" s="64"/>
      <c r="U35" s="64"/>
    </row>
    <row r="36" spans="1:21" x14ac:dyDescent="0.3">
      <c r="A36" s="19" t="s">
        <v>254</v>
      </c>
      <c r="B36" s="73"/>
      <c r="C36" s="73">
        <v>1</v>
      </c>
      <c r="D36" s="73">
        <v>1</v>
      </c>
      <c r="E36" s="73">
        <v>2</v>
      </c>
      <c r="G36" s="64"/>
      <c r="H36" s="64"/>
      <c r="I36" s="64"/>
      <c r="J36" s="64"/>
      <c r="K36" s="64"/>
      <c r="L36" s="64"/>
      <c r="M36" s="64"/>
      <c r="N36" s="64"/>
      <c r="O36" s="64"/>
      <c r="P36" s="64"/>
      <c r="Q36" s="64"/>
      <c r="R36" s="64"/>
      <c r="S36" s="64"/>
      <c r="T36" s="64"/>
      <c r="U36" s="64"/>
    </row>
    <row r="37" spans="1:21" x14ac:dyDescent="0.3">
      <c r="A37" s="19" t="s">
        <v>284</v>
      </c>
      <c r="B37" s="73"/>
      <c r="C37" s="73"/>
      <c r="D37" s="73">
        <v>7</v>
      </c>
      <c r="E37" s="73">
        <v>7</v>
      </c>
      <c r="G37" s="64"/>
      <c r="H37" s="64"/>
      <c r="I37" s="64"/>
      <c r="J37" s="64"/>
      <c r="K37" s="64"/>
      <c r="L37" s="64"/>
      <c r="M37" s="64"/>
      <c r="N37" s="64"/>
      <c r="O37" s="64"/>
      <c r="P37" s="64"/>
      <c r="Q37" s="64"/>
      <c r="R37" s="64"/>
      <c r="S37" s="64"/>
      <c r="T37" s="64"/>
      <c r="U37" s="64"/>
    </row>
    <row r="38" spans="1:21" x14ac:dyDescent="0.3">
      <c r="A38" s="19" t="s">
        <v>28</v>
      </c>
      <c r="B38" s="73"/>
      <c r="C38" s="73">
        <v>1</v>
      </c>
      <c r="D38" s="73">
        <v>1</v>
      </c>
      <c r="E38" s="73">
        <v>2</v>
      </c>
    </row>
    <row r="39" spans="1:21" x14ac:dyDescent="0.3">
      <c r="A39" s="19" t="s">
        <v>421</v>
      </c>
      <c r="B39" s="73"/>
      <c r="C39" s="73">
        <v>4</v>
      </c>
      <c r="D39" s="73">
        <v>4</v>
      </c>
      <c r="E39" s="73">
        <v>8</v>
      </c>
    </row>
    <row r="40" spans="1:21" x14ac:dyDescent="0.3">
      <c r="A40" s="19" t="s">
        <v>281</v>
      </c>
      <c r="B40" s="73"/>
      <c r="C40" s="73">
        <v>7</v>
      </c>
      <c r="D40" s="73"/>
      <c r="E40" s="73">
        <v>7</v>
      </c>
    </row>
    <row r="41" spans="1:21" x14ac:dyDescent="0.3">
      <c r="A41" s="19" t="s">
        <v>413</v>
      </c>
      <c r="B41" s="73">
        <v>131</v>
      </c>
      <c r="C41" s="73">
        <v>195</v>
      </c>
      <c r="D41" s="73">
        <v>253</v>
      </c>
      <c r="E41" s="73">
        <v>579</v>
      </c>
    </row>
    <row r="42" spans="1:21" x14ac:dyDescent="0.3">
      <c r="H42" s="67" t="s">
        <v>442</v>
      </c>
      <c r="I42" s="68"/>
      <c r="L42" s="69" t="s">
        <v>444</v>
      </c>
      <c r="M42" s="70"/>
      <c r="N42" s="70"/>
      <c r="O42" s="70"/>
      <c r="P42" s="70"/>
    </row>
    <row r="43" spans="1:21" x14ac:dyDescent="0.3">
      <c r="H43" s="68"/>
      <c r="I43" s="68"/>
      <c r="L43" s="70"/>
      <c r="M43" s="70"/>
      <c r="N43" s="70"/>
      <c r="O43" s="70"/>
      <c r="P43" s="70"/>
    </row>
    <row r="44" spans="1:21" x14ac:dyDescent="0.3">
      <c r="A44" s="18" t="s">
        <v>417</v>
      </c>
      <c r="B44" s="18" t="s">
        <v>416</v>
      </c>
      <c r="H44" s="18" t="s">
        <v>412</v>
      </c>
      <c r="I44" t="s">
        <v>414</v>
      </c>
      <c r="L44" s="18" t="s">
        <v>417</v>
      </c>
      <c r="M44" s="18" t="s">
        <v>416</v>
      </c>
    </row>
    <row r="45" spans="1:21" x14ac:dyDescent="0.3">
      <c r="A45" s="18" t="s">
        <v>412</v>
      </c>
      <c r="B45" t="s">
        <v>257</v>
      </c>
      <c r="C45" t="s">
        <v>15</v>
      </c>
      <c r="D45" t="s">
        <v>27</v>
      </c>
      <c r="E45" t="s">
        <v>413</v>
      </c>
      <c r="H45" s="19" t="s">
        <v>287</v>
      </c>
      <c r="I45" s="25">
        <v>28480</v>
      </c>
      <c r="L45" s="18" t="s">
        <v>412</v>
      </c>
      <c r="M45" t="s">
        <v>257</v>
      </c>
      <c r="N45" t="s">
        <v>15</v>
      </c>
      <c r="O45" t="s">
        <v>27</v>
      </c>
      <c r="P45" t="s">
        <v>413</v>
      </c>
    </row>
    <row r="46" spans="1:21" x14ac:dyDescent="0.3">
      <c r="A46" s="19" t="s">
        <v>298</v>
      </c>
      <c r="B46" s="29">
        <v>0.26436781609195403</v>
      </c>
      <c r="C46" s="20">
        <v>0.37931034482758619</v>
      </c>
      <c r="D46" s="20">
        <v>0.35632183908045978</v>
      </c>
      <c r="E46" s="20">
        <v>1</v>
      </c>
      <c r="H46" s="19" t="s">
        <v>298</v>
      </c>
      <c r="I46" s="25">
        <v>26570</v>
      </c>
      <c r="L46" s="19" t="s">
        <v>298</v>
      </c>
      <c r="M46" s="74">
        <v>23</v>
      </c>
      <c r="N46" s="73">
        <v>33</v>
      </c>
      <c r="O46" s="73">
        <v>31</v>
      </c>
      <c r="P46" s="73">
        <v>87</v>
      </c>
    </row>
    <row r="47" spans="1:21" x14ac:dyDescent="0.3">
      <c r="A47" s="19" t="s">
        <v>296</v>
      </c>
      <c r="B47" s="29">
        <v>0.26436781609195403</v>
      </c>
      <c r="C47" s="20">
        <v>0.12643678160919541</v>
      </c>
      <c r="D47" s="20">
        <v>0.60919540229885061</v>
      </c>
      <c r="E47" s="20">
        <v>1</v>
      </c>
      <c r="H47" s="19" t="s">
        <v>290</v>
      </c>
      <c r="I47" s="25">
        <v>23950</v>
      </c>
      <c r="L47" s="19" t="s">
        <v>296</v>
      </c>
      <c r="M47" s="74">
        <v>23</v>
      </c>
      <c r="N47" s="73">
        <v>11</v>
      </c>
      <c r="O47" s="73">
        <v>53</v>
      </c>
      <c r="P47" s="73">
        <v>87</v>
      </c>
    </row>
    <row r="48" spans="1:21" x14ac:dyDescent="0.3">
      <c r="A48" s="19" t="s">
        <v>290</v>
      </c>
      <c r="B48" s="29">
        <v>0.23404255319148937</v>
      </c>
      <c r="C48" s="20">
        <v>0.35106382978723405</v>
      </c>
      <c r="D48" s="20">
        <v>0.41489361702127658</v>
      </c>
      <c r="E48" s="20">
        <v>1</v>
      </c>
      <c r="H48" s="19" t="s">
        <v>300</v>
      </c>
      <c r="I48" s="25">
        <v>23160</v>
      </c>
      <c r="L48" s="19" t="s">
        <v>290</v>
      </c>
      <c r="M48" s="74">
        <v>22</v>
      </c>
      <c r="N48" s="73">
        <v>33</v>
      </c>
      <c r="O48" s="73">
        <v>39</v>
      </c>
      <c r="P48" s="73">
        <v>94</v>
      </c>
    </row>
    <row r="49" spans="1:16" x14ac:dyDescent="0.3">
      <c r="A49" s="19" t="s">
        <v>300</v>
      </c>
      <c r="B49" s="29">
        <v>0.2558139534883721</v>
      </c>
      <c r="C49" s="20">
        <v>0.30232558139534882</v>
      </c>
      <c r="D49" s="20">
        <v>0.44186046511627908</v>
      </c>
      <c r="E49" s="20">
        <v>1</v>
      </c>
      <c r="H49" s="19" t="s">
        <v>296</v>
      </c>
      <c r="I49" s="25">
        <v>23120</v>
      </c>
      <c r="L49" s="19" t="s">
        <v>300</v>
      </c>
      <c r="M49" s="74">
        <v>22</v>
      </c>
      <c r="N49" s="73">
        <v>26</v>
      </c>
      <c r="O49" s="73">
        <v>38</v>
      </c>
      <c r="P49" s="73">
        <v>86</v>
      </c>
    </row>
    <row r="50" spans="1:16" x14ac:dyDescent="0.3">
      <c r="A50" s="19" t="s">
        <v>287</v>
      </c>
      <c r="B50" s="29">
        <v>0.18947368421052632</v>
      </c>
      <c r="C50" s="20">
        <v>0.42105263157894735</v>
      </c>
      <c r="D50" s="20">
        <v>0.38947368421052631</v>
      </c>
      <c r="E50" s="20">
        <v>1</v>
      </c>
      <c r="H50" s="19" t="s">
        <v>413</v>
      </c>
      <c r="I50" s="25">
        <v>125280</v>
      </c>
      <c r="L50" s="19" t="s">
        <v>287</v>
      </c>
      <c r="M50" s="74">
        <v>18</v>
      </c>
      <c r="N50" s="73">
        <v>40</v>
      </c>
      <c r="O50" s="73">
        <v>37</v>
      </c>
      <c r="P50" s="73">
        <v>95</v>
      </c>
    </row>
    <row r="51" spans="1:16" x14ac:dyDescent="0.3">
      <c r="A51" s="19" t="s">
        <v>293</v>
      </c>
      <c r="B51" s="20">
        <v>0.19101123595505617</v>
      </c>
      <c r="C51" s="20">
        <v>0.39325842696629215</v>
      </c>
      <c r="D51" s="20">
        <v>0.4157303370786517</v>
      </c>
      <c r="E51" s="20">
        <v>1</v>
      </c>
      <c r="L51" s="19" t="s">
        <v>293</v>
      </c>
      <c r="M51" s="73">
        <v>17</v>
      </c>
      <c r="N51" s="73">
        <v>35</v>
      </c>
      <c r="O51" s="73">
        <v>37</v>
      </c>
      <c r="P51" s="73">
        <v>89</v>
      </c>
    </row>
    <row r="52" spans="1:16" x14ac:dyDescent="0.3">
      <c r="A52" s="19" t="s">
        <v>252</v>
      </c>
      <c r="B52" s="20">
        <v>0.8</v>
      </c>
      <c r="C52" s="20">
        <v>0</v>
      </c>
      <c r="D52" s="20">
        <v>0.2</v>
      </c>
      <c r="E52" s="20">
        <v>1</v>
      </c>
      <c r="L52" s="19" t="s">
        <v>413</v>
      </c>
      <c r="M52" s="73">
        <v>125</v>
      </c>
      <c r="N52" s="73">
        <v>178</v>
      </c>
      <c r="O52" s="73">
        <v>235</v>
      </c>
      <c r="P52" s="73">
        <v>538</v>
      </c>
    </row>
    <row r="53" spans="1:16" x14ac:dyDescent="0.3">
      <c r="A53" s="19" t="s">
        <v>258</v>
      </c>
      <c r="B53" s="20">
        <v>1</v>
      </c>
      <c r="C53" s="20">
        <v>0</v>
      </c>
      <c r="D53" s="20">
        <v>0</v>
      </c>
      <c r="E53" s="20">
        <v>1</v>
      </c>
    </row>
    <row r="54" spans="1:16" x14ac:dyDescent="0.3">
      <c r="A54" s="19" t="s">
        <v>267</v>
      </c>
      <c r="B54" s="20">
        <v>0</v>
      </c>
      <c r="C54" s="20">
        <v>1</v>
      </c>
      <c r="D54" s="20">
        <v>0</v>
      </c>
      <c r="E54" s="20">
        <v>1</v>
      </c>
    </row>
    <row r="55" spans="1:16" x14ac:dyDescent="0.3">
      <c r="A55" s="19" t="s">
        <v>261</v>
      </c>
      <c r="B55" s="20">
        <v>0</v>
      </c>
      <c r="C55" s="20">
        <v>0</v>
      </c>
      <c r="D55" s="20">
        <v>1</v>
      </c>
      <c r="E55" s="20">
        <v>1</v>
      </c>
    </row>
    <row r="56" spans="1:16" x14ac:dyDescent="0.3">
      <c r="A56" s="19" t="s">
        <v>254</v>
      </c>
      <c r="B56" s="20">
        <v>0</v>
      </c>
      <c r="C56" s="20">
        <v>0.5</v>
      </c>
      <c r="D56" s="20">
        <v>0.5</v>
      </c>
      <c r="E56" s="20">
        <v>1</v>
      </c>
    </row>
    <row r="57" spans="1:16" x14ac:dyDescent="0.3">
      <c r="A57" s="19" t="s">
        <v>284</v>
      </c>
      <c r="B57" s="20">
        <v>0</v>
      </c>
      <c r="C57" s="20">
        <v>0</v>
      </c>
      <c r="D57" s="20">
        <v>1</v>
      </c>
      <c r="E57" s="20">
        <v>1</v>
      </c>
    </row>
    <row r="58" spans="1:16" x14ac:dyDescent="0.3">
      <c r="A58" s="19" t="s">
        <v>28</v>
      </c>
      <c r="B58" s="20">
        <v>0</v>
      </c>
      <c r="C58" s="20">
        <v>0.5</v>
      </c>
      <c r="D58" s="20">
        <v>0.5</v>
      </c>
      <c r="E58" s="20">
        <v>1</v>
      </c>
    </row>
    <row r="59" spans="1:16" x14ac:dyDescent="0.3">
      <c r="A59" s="19" t="s">
        <v>421</v>
      </c>
      <c r="B59" s="20">
        <v>0</v>
      </c>
      <c r="C59" s="20">
        <v>0.5</v>
      </c>
      <c r="D59" s="20">
        <v>0.5</v>
      </c>
      <c r="E59" s="20">
        <v>1</v>
      </c>
    </row>
    <row r="60" spans="1:16" x14ac:dyDescent="0.3">
      <c r="A60" s="19" t="s">
        <v>281</v>
      </c>
      <c r="B60" s="20">
        <v>0</v>
      </c>
      <c r="C60" s="20">
        <v>1</v>
      </c>
      <c r="D60" s="20">
        <v>0</v>
      </c>
      <c r="E60" s="20">
        <v>1</v>
      </c>
    </row>
    <row r="61" spans="1:16" x14ac:dyDescent="0.3">
      <c r="A61" s="19" t="s">
        <v>413</v>
      </c>
      <c r="B61" s="20">
        <v>0.22625215889464595</v>
      </c>
      <c r="C61" s="20">
        <v>0.33678756476683935</v>
      </c>
      <c r="D61" s="20">
        <v>0.4369602763385147</v>
      </c>
      <c r="E61" s="20">
        <v>1</v>
      </c>
    </row>
  </sheetData>
  <mergeCells count="6">
    <mergeCell ref="A1:B1"/>
    <mergeCell ref="F3:U10"/>
    <mergeCell ref="F12:U19"/>
    <mergeCell ref="G22:U37"/>
    <mergeCell ref="H42:I43"/>
    <mergeCell ref="L42:P43"/>
  </mergeCells>
  <hyperlinks>
    <hyperlink ref="A1:B1" location="Interactive_Dashboard!A1" tooltip="Dashboard" display="&lt; Back to Dashboard" xr:uid="{2AA58214-2D2F-4DD2-B7E7-915A9A7B310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FC10-D441-4E74-8B4A-927B4AEDBB88}">
  <dimension ref="A1:U26"/>
  <sheetViews>
    <sheetView zoomScale="96" zoomScaleNormal="96" workbookViewId="0">
      <selection sqref="A1:B1"/>
    </sheetView>
  </sheetViews>
  <sheetFormatPr defaultRowHeight="14.4" x14ac:dyDescent="0.3"/>
  <cols>
    <col min="1" max="1" width="17.77734375" bestFit="1" customWidth="1"/>
    <col min="2" max="2" width="17" bestFit="1" customWidth="1"/>
  </cols>
  <sheetData>
    <row r="1" spans="1:21" ht="18" x14ac:dyDescent="0.35">
      <c r="A1" s="72" t="s">
        <v>445</v>
      </c>
      <c r="B1" s="72"/>
    </row>
    <row r="3" spans="1:21" ht="21" x14ac:dyDescent="0.4">
      <c r="A3" s="26" t="s">
        <v>412</v>
      </c>
      <c r="B3" s="27" t="s">
        <v>414</v>
      </c>
      <c r="D3" s="71" t="s">
        <v>435</v>
      </c>
      <c r="E3" s="64"/>
      <c r="F3" s="64"/>
      <c r="G3" s="64"/>
      <c r="H3" s="64"/>
      <c r="I3" s="64"/>
      <c r="J3" s="64"/>
      <c r="K3" s="64"/>
      <c r="L3" s="64"/>
      <c r="M3" s="64"/>
      <c r="N3" s="64"/>
      <c r="O3" s="64"/>
      <c r="P3" s="64"/>
      <c r="Q3" s="64"/>
      <c r="R3" s="64"/>
      <c r="S3" s="64"/>
      <c r="T3" s="64"/>
      <c r="U3" s="64"/>
    </row>
    <row r="4" spans="1:21" ht="21" x14ac:dyDescent="0.4">
      <c r="A4" s="28" t="s">
        <v>422</v>
      </c>
      <c r="B4" s="30">
        <v>10320</v>
      </c>
      <c r="D4" s="64"/>
      <c r="E4" s="64"/>
      <c r="F4" s="64"/>
      <c r="G4" s="64"/>
      <c r="H4" s="64"/>
      <c r="I4" s="64"/>
      <c r="J4" s="64"/>
      <c r="K4" s="64"/>
      <c r="L4" s="64"/>
      <c r="M4" s="64"/>
      <c r="N4" s="64"/>
      <c r="O4" s="64"/>
      <c r="P4" s="64"/>
      <c r="Q4" s="64"/>
      <c r="R4" s="64"/>
      <c r="S4" s="64"/>
      <c r="T4" s="64"/>
      <c r="U4" s="64"/>
    </row>
    <row r="5" spans="1:21" ht="21" x14ac:dyDescent="0.4">
      <c r="A5" s="28" t="s">
        <v>2</v>
      </c>
      <c r="B5" s="30">
        <v>12940</v>
      </c>
      <c r="D5" s="64"/>
      <c r="E5" s="64"/>
      <c r="F5" s="64"/>
      <c r="G5" s="64"/>
      <c r="H5" s="64"/>
      <c r="I5" s="64"/>
      <c r="J5" s="64"/>
      <c r="K5" s="64"/>
      <c r="L5" s="64"/>
      <c r="M5" s="64"/>
      <c r="N5" s="64"/>
      <c r="O5" s="64"/>
      <c r="P5" s="64"/>
      <c r="Q5" s="64"/>
      <c r="R5" s="64"/>
      <c r="S5" s="64"/>
      <c r="T5" s="64"/>
      <c r="U5" s="64"/>
    </row>
    <row r="6" spans="1:21" ht="21" x14ac:dyDescent="0.4">
      <c r="A6" s="28" t="s">
        <v>423</v>
      </c>
      <c r="B6" s="30">
        <v>8060</v>
      </c>
      <c r="D6" s="64"/>
      <c r="E6" s="64"/>
      <c r="F6" s="64"/>
      <c r="G6" s="64"/>
      <c r="H6" s="64"/>
      <c r="I6" s="64"/>
      <c r="J6" s="64"/>
      <c r="K6" s="64"/>
      <c r="L6" s="64"/>
      <c r="M6" s="64"/>
      <c r="N6" s="64"/>
      <c r="O6" s="64"/>
      <c r="P6" s="64"/>
      <c r="Q6" s="64"/>
      <c r="R6" s="64"/>
      <c r="S6" s="64"/>
      <c r="T6" s="64"/>
      <c r="U6" s="64"/>
    </row>
    <row r="7" spans="1:21" ht="21" x14ac:dyDescent="0.4">
      <c r="A7" s="28" t="s">
        <v>413</v>
      </c>
      <c r="B7" s="30">
        <v>31320</v>
      </c>
      <c r="D7" s="64"/>
      <c r="E7" s="64"/>
      <c r="F7" s="64"/>
      <c r="G7" s="64"/>
      <c r="H7" s="64"/>
      <c r="I7" s="64"/>
      <c r="J7" s="64"/>
      <c r="K7" s="64"/>
      <c r="L7" s="64"/>
      <c r="M7" s="64"/>
      <c r="N7" s="64"/>
      <c r="O7" s="64"/>
      <c r="P7" s="64"/>
      <c r="Q7" s="64"/>
      <c r="R7" s="64"/>
      <c r="S7" s="64"/>
      <c r="T7" s="64"/>
      <c r="U7" s="64"/>
    </row>
    <row r="8" spans="1:21" x14ac:dyDescent="0.3">
      <c r="D8" s="64"/>
      <c r="E8" s="64"/>
      <c r="F8" s="64"/>
      <c r="G8" s="64"/>
      <c r="H8" s="64"/>
      <c r="I8" s="64"/>
      <c r="J8" s="64"/>
      <c r="K8" s="64"/>
      <c r="L8" s="64"/>
      <c r="M8" s="64"/>
      <c r="N8" s="64"/>
      <c r="O8" s="64"/>
      <c r="P8" s="64"/>
      <c r="Q8" s="64"/>
      <c r="R8" s="64"/>
      <c r="S8" s="64"/>
      <c r="T8" s="64"/>
      <c r="U8" s="64"/>
    </row>
    <row r="9" spans="1:21" x14ac:dyDescent="0.3">
      <c r="D9" s="64"/>
      <c r="E9" s="64"/>
      <c r="F9" s="64"/>
      <c r="G9" s="64"/>
      <c r="H9" s="64"/>
      <c r="I9" s="64"/>
      <c r="J9" s="64"/>
      <c r="K9" s="64"/>
      <c r="L9" s="64"/>
      <c r="M9" s="64"/>
      <c r="N9" s="64"/>
      <c r="O9" s="64"/>
      <c r="P9" s="64"/>
      <c r="Q9" s="64"/>
      <c r="R9" s="64"/>
      <c r="S9" s="64"/>
      <c r="T9" s="64"/>
      <c r="U9" s="64"/>
    </row>
    <row r="10" spans="1:21" x14ac:dyDescent="0.3">
      <c r="A10" s="2" t="s">
        <v>433</v>
      </c>
      <c r="D10" s="64"/>
      <c r="E10" s="64"/>
      <c r="F10" s="64"/>
      <c r="G10" s="64"/>
      <c r="H10" s="64"/>
      <c r="I10" s="64"/>
      <c r="J10" s="64"/>
      <c r="K10" s="64"/>
      <c r="L10" s="64"/>
      <c r="M10" s="64"/>
      <c r="N10" s="64"/>
      <c r="O10" s="64"/>
      <c r="P10" s="64"/>
      <c r="Q10" s="64"/>
      <c r="R10" s="64"/>
      <c r="S10" s="64"/>
      <c r="T10" s="64"/>
      <c r="U10" s="64"/>
    </row>
    <row r="11" spans="1:21" x14ac:dyDescent="0.3">
      <c r="D11" s="64"/>
      <c r="E11" s="64"/>
      <c r="F11" s="64"/>
      <c r="G11" s="64"/>
      <c r="H11" s="64"/>
      <c r="I11" s="64"/>
      <c r="J11" s="64"/>
      <c r="K11" s="64"/>
      <c r="L11" s="64"/>
      <c r="M11" s="64"/>
      <c r="N11" s="64"/>
      <c r="O11" s="64"/>
      <c r="P11" s="64"/>
      <c r="Q11" s="64"/>
      <c r="R11" s="64"/>
      <c r="S11" s="64"/>
      <c r="T11" s="64"/>
      <c r="U11" s="64"/>
    </row>
    <row r="12" spans="1:21" x14ac:dyDescent="0.3">
      <c r="D12" s="64"/>
      <c r="E12" s="64"/>
      <c r="F12" s="64"/>
      <c r="G12" s="64"/>
      <c r="H12" s="64"/>
      <c r="I12" s="64"/>
      <c r="J12" s="64"/>
      <c r="K12" s="64"/>
      <c r="L12" s="64"/>
      <c r="M12" s="64"/>
      <c r="N12" s="64"/>
      <c r="O12" s="64"/>
      <c r="P12" s="64"/>
      <c r="Q12" s="64"/>
      <c r="R12" s="64"/>
      <c r="S12" s="64"/>
      <c r="T12" s="64"/>
      <c r="U12" s="64"/>
    </row>
    <row r="13" spans="1:21" x14ac:dyDescent="0.3">
      <c r="D13" s="64"/>
      <c r="E13" s="64"/>
      <c r="F13" s="64"/>
      <c r="G13" s="64"/>
      <c r="H13" s="64"/>
      <c r="I13" s="64"/>
      <c r="J13" s="64"/>
      <c r="K13" s="64"/>
      <c r="L13" s="64"/>
      <c r="M13" s="64"/>
      <c r="N13" s="64"/>
      <c r="O13" s="64"/>
      <c r="P13" s="64"/>
      <c r="Q13" s="64"/>
      <c r="R13" s="64"/>
      <c r="S13" s="64"/>
      <c r="T13" s="64"/>
      <c r="U13" s="64"/>
    </row>
    <row r="14" spans="1:21" x14ac:dyDescent="0.3">
      <c r="D14" s="64"/>
      <c r="E14" s="64"/>
      <c r="F14" s="64"/>
      <c r="G14" s="64"/>
      <c r="H14" s="64"/>
      <c r="I14" s="64"/>
      <c r="J14" s="64"/>
      <c r="K14" s="64"/>
      <c r="L14" s="64"/>
      <c r="M14" s="64"/>
      <c r="N14" s="64"/>
      <c r="O14" s="64"/>
      <c r="P14" s="64"/>
      <c r="Q14" s="64"/>
      <c r="R14" s="64"/>
      <c r="S14" s="64"/>
      <c r="T14" s="64"/>
      <c r="U14" s="64"/>
    </row>
    <row r="15" spans="1:21" x14ac:dyDescent="0.3">
      <c r="D15" s="64"/>
      <c r="E15" s="64"/>
      <c r="F15" s="64"/>
      <c r="G15" s="64"/>
      <c r="H15" s="64"/>
      <c r="I15" s="64"/>
      <c r="J15" s="64"/>
      <c r="K15" s="64"/>
      <c r="L15" s="64"/>
      <c r="M15" s="64"/>
      <c r="N15" s="64"/>
      <c r="O15" s="64"/>
      <c r="P15" s="64"/>
      <c r="Q15" s="64"/>
      <c r="R15" s="64"/>
      <c r="S15" s="64"/>
      <c r="T15" s="64"/>
      <c r="U15" s="64"/>
    </row>
    <row r="16" spans="1:21" x14ac:dyDescent="0.3">
      <c r="D16" s="64"/>
      <c r="E16" s="64"/>
      <c r="F16" s="64"/>
      <c r="G16" s="64"/>
      <c r="H16" s="64"/>
      <c r="I16" s="64"/>
      <c r="J16" s="64"/>
      <c r="K16" s="64"/>
      <c r="L16" s="64"/>
      <c r="M16" s="64"/>
      <c r="N16" s="64"/>
      <c r="O16" s="64"/>
      <c r="P16" s="64"/>
      <c r="Q16" s="64"/>
      <c r="R16" s="64"/>
      <c r="S16" s="64"/>
      <c r="T16" s="64"/>
      <c r="U16" s="64"/>
    </row>
    <row r="17" spans="4:21" x14ac:dyDescent="0.3">
      <c r="D17" s="64"/>
      <c r="E17" s="64"/>
      <c r="F17" s="64"/>
      <c r="G17" s="64"/>
      <c r="H17" s="64"/>
      <c r="I17" s="64"/>
      <c r="J17" s="64"/>
      <c r="K17" s="64"/>
      <c r="L17" s="64"/>
      <c r="M17" s="64"/>
      <c r="N17" s="64"/>
      <c r="O17" s="64"/>
      <c r="P17" s="64"/>
      <c r="Q17" s="64"/>
      <c r="R17" s="64"/>
      <c r="S17" s="64"/>
      <c r="T17" s="64"/>
      <c r="U17" s="64"/>
    </row>
    <row r="18" spans="4:21" x14ac:dyDescent="0.3">
      <c r="D18" s="64"/>
      <c r="E18" s="64"/>
      <c r="F18" s="64"/>
      <c r="G18" s="64"/>
      <c r="H18" s="64"/>
      <c r="I18" s="64"/>
      <c r="J18" s="64"/>
      <c r="K18" s="64"/>
      <c r="L18" s="64"/>
      <c r="M18" s="64"/>
      <c r="N18" s="64"/>
      <c r="O18" s="64"/>
      <c r="P18" s="64"/>
      <c r="Q18" s="64"/>
      <c r="R18" s="64"/>
      <c r="S18" s="64"/>
      <c r="T18" s="64"/>
      <c r="U18" s="64"/>
    </row>
    <row r="19" spans="4:21" x14ac:dyDescent="0.3">
      <c r="D19" s="64"/>
      <c r="E19" s="64"/>
      <c r="F19" s="64"/>
      <c r="G19" s="64"/>
      <c r="H19" s="64"/>
      <c r="I19" s="64"/>
      <c r="J19" s="64"/>
      <c r="K19" s="64"/>
      <c r="L19" s="64"/>
      <c r="M19" s="64"/>
      <c r="N19" s="64"/>
      <c r="O19" s="64"/>
      <c r="P19" s="64"/>
      <c r="Q19" s="64"/>
      <c r="R19" s="64"/>
      <c r="S19" s="64"/>
      <c r="T19" s="64"/>
      <c r="U19" s="64"/>
    </row>
    <row r="20" spans="4:21" x14ac:dyDescent="0.3">
      <c r="D20" s="64"/>
      <c r="E20" s="64"/>
      <c r="F20" s="64"/>
      <c r="G20" s="64"/>
      <c r="H20" s="64"/>
      <c r="I20" s="64"/>
      <c r="J20" s="64"/>
      <c r="K20" s="64"/>
      <c r="L20" s="64"/>
      <c r="M20" s="64"/>
      <c r="N20" s="64"/>
      <c r="O20" s="64"/>
      <c r="P20" s="64"/>
      <c r="Q20" s="64"/>
      <c r="R20" s="64"/>
      <c r="S20" s="64"/>
      <c r="T20" s="64"/>
      <c r="U20" s="64"/>
    </row>
    <row r="21" spans="4:21" x14ac:dyDescent="0.3">
      <c r="D21" s="64"/>
      <c r="E21" s="64"/>
      <c r="F21" s="64"/>
      <c r="G21" s="64"/>
      <c r="H21" s="64"/>
      <c r="I21" s="64"/>
      <c r="J21" s="64"/>
      <c r="K21" s="64"/>
      <c r="L21" s="64"/>
      <c r="M21" s="64"/>
      <c r="N21" s="64"/>
      <c r="O21" s="64"/>
      <c r="P21" s="64"/>
      <c r="Q21" s="64"/>
      <c r="R21" s="64"/>
      <c r="S21" s="64"/>
      <c r="T21" s="64"/>
      <c r="U21" s="64"/>
    </row>
    <row r="22" spans="4:21" x14ac:dyDescent="0.3">
      <c r="D22" s="64"/>
      <c r="E22" s="64"/>
      <c r="F22" s="64"/>
      <c r="G22" s="64"/>
      <c r="H22" s="64"/>
      <c r="I22" s="64"/>
      <c r="J22" s="64"/>
      <c r="K22" s="64"/>
      <c r="L22" s="64"/>
      <c r="M22" s="64"/>
      <c r="N22" s="64"/>
      <c r="O22" s="64"/>
      <c r="P22" s="64"/>
      <c r="Q22" s="64"/>
      <c r="R22" s="64"/>
      <c r="S22" s="64"/>
      <c r="T22" s="64"/>
      <c r="U22" s="64"/>
    </row>
    <row r="23" spans="4:21" x14ac:dyDescent="0.3">
      <c r="D23" s="64"/>
      <c r="E23" s="64"/>
      <c r="F23" s="64"/>
      <c r="G23" s="64"/>
      <c r="H23" s="64"/>
      <c r="I23" s="64"/>
      <c r="J23" s="64"/>
      <c r="K23" s="64"/>
      <c r="L23" s="64"/>
      <c r="M23" s="64"/>
      <c r="N23" s="64"/>
      <c r="O23" s="64"/>
      <c r="P23" s="64"/>
      <c r="Q23" s="64"/>
      <c r="R23" s="64"/>
      <c r="S23" s="64"/>
      <c r="T23" s="64"/>
      <c r="U23" s="64"/>
    </row>
    <row r="24" spans="4:21" x14ac:dyDescent="0.3">
      <c r="D24" s="64"/>
      <c r="E24" s="64"/>
      <c r="F24" s="64"/>
      <c r="G24" s="64"/>
      <c r="H24" s="64"/>
      <c r="I24" s="64"/>
      <c r="J24" s="64"/>
      <c r="K24" s="64"/>
      <c r="L24" s="64"/>
      <c r="M24" s="64"/>
      <c r="N24" s="64"/>
      <c r="O24" s="64"/>
      <c r="P24" s="64"/>
      <c r="Q24" s="64"/>
      <c r="R24" s="64"/>
      <c r="S24" s="64"/>
      <c r="T24" s="64"/>
      <c r="U24" s="64"/>
    </row>
    <row r="25" spans="4:21" x14ac:dyDescent="0.3">
      <c r="D25" s="64"/>
      <c r="E25" s="64"/>
      <c r="F25" s="64"/>
      <c r="G25" s="64"/>
      <c r="H25" s="64"/>
      <c r="I25" s="64"/>
      <c r="J25" s="64"/>
      <c r="K25" s="64"/>
      <c r="L25" s="64"/>
      <c r="M25" s="64"/>
      <c r="N25" s="64"/>
      <c r="O25" s="64"/>
      <c r="P25" s="64"/>
      <c r="Q25" s="64"/>
      <c r="R25" s="64"/>
      <c r="S25" s="64"/>
      <c r="T25" s="64"/>
      <c r="U25" s="64"/>
    </row>
    <row r="26" spans="4:21" x14ac:dyDescent="0.3">
      <c r="D26" s="64"/>
      <c r="E26" s="64"/>
      <c r="F26" s="64"/>
      <c r="G26" s="64"/>
      <c r="H26" s="64"/>
      <c r="I26" s="64"/>
      <c r="J26" s="64"/>
      <c r="K26" s="64"/>
      <c r="L26" s="64"/>
      <c r="M26" s="64"/>
      <c r="N26" s="64"/>
      <c r="O26" s="64"/>
      <c r="P26" s="64"/>
      <c r="Q26" s="64"/>
      <c r="R26" s="64"/>
      <c r="S26" s="64"/>
      <c r="T26" s="64"/>
      <c r="U26" s="64"/>
    </row>
  </sheetData>
  <mergeCells count="2">
    <mergeCell ref="D3:U26"/>
    <mergeCell ref="A1:B1"/>
  </mergeCells>
  <hyperlinks>
    <hyperlink ref="A1:B1" location="Interactive_Dashboard!A1" tooltip="Dashboard" display="&lt; Back to Dashboard" xr:uid="{42327855-8BFA-4CE0-8AA7-ECBBCF558B12}"/>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593C7-761A-46BC-8DFC-FD98119069F5}">
  <sheetPr>
    <tabColor rgb="FF92D050"/>
  </sheetPr>
  <dimension ref="A1:J580"/>
  <sheetViews>
    <sheetView workbookViewId="0">
      <selection activeCell="K14" sqref="K14"/>
    </sheetView>
  </sheetViews>
  <sheetFormatPr defaultRowHeight="14.4" x14ac:dyDescent="0.3"/>
  <cols>
    <col min="1" max="1" width="10.5546875" bestFit="1" customWidth="1"/>
    <col min="2" max="2" width="10.33203125" bestFit="1" customWidth="1"/>
    <col min="3" max="3" width="18.33203125" bestFit="1" customWidth="1"/>
    <col min="4" max="4" width="10.33203125" bestFit="1" customWidth="1"/>
    <col min="5" max="5" width="12.44140625" bestFit="1" customWidth="1"/>
    <col min="6" max="6" width="16.109375" bestFit="1" customWidth="1"/>
    <col min="7" max="7" width="11.44140625" bestFit="1" customWidth="1"/>
    <col min="8" max="8" width="17.88671875" bestFit="1" customWidth="1"/>
    <col min="9" max="9" width="17.5546875" bestFit="1" customWidth="1"/>
    <col min="10" max="10" width="16.77734375" bestFit="1" customWidth="1"/>
  </cols>
  <sheetData>
    <row r="1" spans="1:10" x14ac:dyDescent="0.3">
      <c r="A1" t="s">
        <v>247</v>
      </c>
      <c r="B1" t="s">
        <v>1</v>
      </c>
      <c r="C1" t="s">
        <v>4</v>
      </c>
      <c r="D1" t="s">
        <v>0</v>
      </c>
      <c r="E1" t="s">
        <v>5</v>
      </c>
      <c r="F1" t="s">
        <v>6</v>
      </c>
      <c r="G1" t="s">
        <v>7</v>
      </c>
      <c r="H1" t="s">
        <v>248</v>
      </c>
      <c r="I1" t="s">
        <v>249</v>
      </c>
      <c r="J1" t="s">
        <v>418</v>
      </c>
    </row>
    <row r="2" spans="1:10" x14ac:dyDescent="0.3">
      <c r="A2" t="s">
        <v>250</v>
      </c>
      <c r="B2" s="1">
        <v>45748</v>
      </c>
      <c r="C2" t="s">
        <v>251</v>
      </c>
      <c r="D2">
        <v>2</v>
      </c>
      <c r="E2">
        <v>400</v>
      </c>
      <c r="F2" t="s">
        <v>26</v>
      </c>
      <c r="G2" t="s">
        <v>27</v>
      </c>
      <c r="H2">
        <v>0</v>
      </c>
      <c r="I2" t="s">
        <v>252</v>
      </c>
      <c r="J2" t="str">
        <f>IF(Table3_1[[#This Row],[Discount_applied]]=0,"No Discount","Discount Applied")</f>
        <v>No Discount</v>
      </c>
    </row>
    <row r="3" spans="1:10" x14ac:dyDescent="0.3">
      <c r="A3" t="s">
        <v>253</v>
      </c>
      <c r="B3" s="1">
        <v>45749</v>
      </c>
      <c r="C3" t="s">
        <v>13</v>
      </c>
      <c r="D3">
        <v>1</v>
      </c>
      <c r="E3">
        <v>350</v>
      </c>
      <c r="F3" t="s">
        <v>14</v>
      </c>
      <c r="G3" t="s">
        <v>15</v>
      </c>
      <c r="H3">
        <v>50</v>
      </c>
      <c r="I3" t="s">
        <v>254</v>
      </c>
      <c r="J3" t="str">
        <f>IF(Table3_1[[#This Row],[Discount_applied]]=0,"No Discount","Discount Applied")</f>
        <v>Discount Applied</v>
      </c>
    </row>
    <row r="4" spans="1:10" x14ac:dyDescent="0.3">
      <c r="A4" t="s">
        <v>255</v>
      </c>
      <c r="B4" s="1">
        <v>45749</v>
      </c>
      <c r="C4" t="s">
        <v>256</v>
      </c>
      <c r="D4">
        <v>4</v>
      </c>
      <c r="E4">
        <v>200</v>
      </c>
      <c r="F4" t="s">
        <v>26</v>
      </c>
      <c r="G4" t="s">
        <v>257</v>
      </c>
      <c r="H4">
        <v>0</v>
      </c>
      <c r="I4" t="s">
        <v>258</v>
      </c>
      <c r="J4" t="str">
        <f>IF(Table3_1[[#This Row],[Discount_applied]]=0,"No Discount","Discount Applied")</f>
        <v>No Discount</v>
      </c>
    </row>
    <row r="5" spans="1:10" x14ac:dyDescent="0.3">
      <c r="A5" t="s">
        <v>259</v>
      </c>
      <c r="B5" s="1">
        <v>45752</v>
      </c>
      <c r="C5" t="s">
        <v>260</v>
      </c>
      <c r="D5">
        <v>1</v>
      </c>
      <c r="E5">
        <v>250</v>
      </c>
      <c r="F5" t="s">
        <v>14</v>
      </c>
      <c r="G5" t="s">
        <v>27</v>
      </c>
      <c r="H5">
        <v>20</v>
      </c>
      <c r="I5" t="s">
        <v>261</v>
      </c>
      <c r="J5" t="str">
        <f>IF(Table3_1[[#This Row],[Discount_applied]]=0,"No Discount","Discount Applied")</f>
        <v>Discount Applied</v>
      </c>
    </row>
    <row r="6" spans="1:10" x14ac:dyDescent="0.3">
      <c r="A6" t="s">
        <v>262</v>
      </c>
      <c r="B6" s="1">
        <v>45753</v>
      </c>
      <c r="C6" t="s">
        <v>263</v>
      </c>
      <c r="D6">
        <v>2</v>
      </c>
      <c r="E6">
        <v>180</v>
      </c>
      <c r="F6" t="s">
        <v>26</v>
      </c>
      <c r="G6" t="s">
        <v>27</v>
      </c>
      <c r="H6">
        <v>0</v>
      </c>
      <c r="I6" t="s">
        <v>28</v>
      </c>
      <c r="J6" t="str">
        <f>IF(Table3_1[[#This Row],[Discount_applied]]=0,"No Discount","Discount Applied")</f>
        <v>No Discount</v>
      </c>
    </row>
    <row r="7" spans="1:10" x14ac:dyDescent="0.3">
      <c r="A7" t="s">
        <v>264</v>
      </c>
      <c r="B7" s="1">
        <v>45753</v>
      </c>
      <c r="C7" t="s">
        <v>251</v>
      </c>
      <c r="D7">
        <v>1</v>
      </c>
      <c r="E7">
        <v>200</v>
      </c>
      <c r="F7" t="s">
        <v>14</v>
      </c>
      <c r="G7" t="s">
        <v>257</v>
      </c>
      <c r="H7">
        <v>10</v>
      </c>
      <c r="I7" t="s">
        <v>252</v>
      </c>
      <c r="J7" t="str">
        <f>IF(Table3_1[[#This Row],[Discount_applied]]=0,"No Discount","Discount Applied")</f>
        <v>Discount Applied</v>
      </c>
    </row>
    <row r="8" spans="1:10" x14ac:dyDescent="0.3">
      <c r="A8" t="s">
        <v>265</v>
      </c>
      <c r="B8" s="1">
        <v>45755</v>
      </c>
      <c r="C8" t="s">
        <v>266</v>
      </c>
      <c r="D8">
        <v>2</v>
      </c>
      <c r="E8">
        <v>500</v>
      </c>
      <c r="F8" t="s">
        <v>26</v>
      </c>
      <c r="G8" t="s">
        <v>15</v>
      </c>
      <c r="H8">
        <v>0</v>
      </c>
      <c r="I8" t="s">
        <v>267</v>
      </c>
      <c r="J8" t="str">
        <f>IF(Table3_1[[#This Row],[Discount_applied]]=0,"No Discount","Discount Applied")</f>
        <v>No Discount</v>
      </c>
    </row>
    <row r="9" spans="1:10" x14ac:dyDescent="0.3">
      <c r="A9" t="s">
        <v>268</v>
      </c>
      <c r="B9" s="1">
        <v>45755</v>
      </c>
      <c r="C9" t="s">
        <v>269</v>
      </c>
      <c r="D9">
        <v>1</v>
      </c>
      <c r="E9">
        <v>180</v>
      </c>
      <c r="F9" t="s">
        <v>26</v>
      </c>
      <c r="G9" t="s">
        <v>27</v>
      </c>
      <c r="H9">
        <v>30</v>
      </c>
      <c r="I9" t="s">
        <v>254</v>
      </c>
      <c r="J9" t="str">
        <f>IF(Table3_1[[#This Row],[Discount_applied]]=0,"No Discount","Discount Applied")</f>
        <v>Discount Applied</v>
      </c>
    </row>
    <row r="10" spans="1:10" x14ac:dyDescent="0.3">
      <c r="A10" t="s">
        <v>270</v>
      </c>
      <c r="B10" s="1">
        <v>45756</v>
      </c>
      <c r="C10" t="s">
        <v>244</v>
      </c>
      <c r="D10">
        <v>3</v>
      </c>
      <c r="E10">
        <v>450</v>
      </c>
      <c r="F10" t="s">
        <v>14</v>
      </c>
      <c r="G10" t="s">
        <v>257</v>
      </c>
      <c r="H10">
        <v>0</v>
      </c>
      <c r="I10" t="s">
        <v>258</v>
      </c>
      <c r="J10" t="str">
        <f>IF(Table3_1[[#This Row],[Discount_applied]]=0,"No Discount","Discount Applied")</f>
        <v>No Discount</v>
      </c>
    </row>
    <row r="11" spans="1:10" x14ac:dyDescent="0.3">
      <c r="A11" t="s">
        <v>271</v>
      </c>
      <c r="B11" s="1">
        <v>45757</v>
      </c>
      <c r="C11" t="s">
        <v>272</v>
      </c>
      <c r="D11">
        <v>1</v>
      </c>
      <c r="E11">
        <v>300</v>
      </c>
      <c r="F11" t="s">
        <v>26</v>
      </c>
      <c r="G11" t="s">
        <v>15</v>
      </c>
      <c r="H11">
        <v>50</v>
      </c>
      <c r="I11" t="s">
        <v>28</v>
      </c>
      <c r="J11" t="str">
        <f>IF(Table3_1[[#This Row],[Discount_applied]]=0,"No Discount","Discount Applied")</f>
        <v>Discount Applied</v>
      </c>
    </row>
    <row r="12" spans="1:10" x14ac:dyDescent="0.3">
      <c r="A12" t="s">
        <v>273</v>
      </c>
      <c r="B12" s="1">
        <v>45757</v>
      </c>
      <c r="C12" t="s">
        <v>274</v>
      </c>
      <c r="D12">
        <v>2</v>
      </c>
      <c r="E12">
        <v>260</v>
      </c>
      <c r="F12" t="s">
        <v>14</v>
      </c>
      <c r="G12" t="s">
        <v>27</v>
      </c>
      <c r="H12">
        <v>0</v>
      </c>
      <c r="I12" t="s">
        <v>261</v>
      </c>
      <c r="J12" t="str">
        <f>IF(Table3_1[[#This Row],[Discount_applied]]=0,"No Discount","Discount Applied")</f>
        <v>No Discount</v>
      </c>
    </row>
    <row r="13" spans="1:10" x14ac:dyDescent="0.3">
      <c r="A13" t="s">
        <v>275</v>
      </c>
      <c r="B13" s="1">
        <v>45759</v>
      </c>
      <c r="C13" t="s">
        <v>276</v>
      </c>
      <c r="D13">
        <v>1</v>
      </c>
      <c r="E13">
        <v>350</v>
      </c>
      <c r="F13" t="s">
        <v>26</v>
      </c>
      <c r="G13" t="s">
        <v>15</v>
      </c>
      <c r="H13">
        <v>0</v>
      </c>
      <c r="I13" t="s">
        <v>267</v>
      </c>
      <c r="J13" t="str">
        <f>IF(Table3_1[[#This Row],[Discount_applied]]=0,"No Discount","Discount Applied")</f>
        <v>No Discount</v>
      </c>
    </row>
    <row r="14" spans="1:10" x14ac:dyDescent="0.3">
      <c r="A14" t="s">
        <v>277</v>
      </c>
      <c r="B14" s="1">
        <v>45759</v>
      </c>
      <c r="C14" t="s">
        <v>278</v>
      </c>
      <c r="D14">
        <v>3</v>
      </c>
      <c r="E14">
        <v>420</v>
      </c>
      <c r="F14" t="s">
        <v>14</v>
      </c>
      <c r="G14" t="s">
        <v>257</v>
      </c>
      <c r="H14">
        <v>40</v>
      </c>
      <c r="I14" t="s">
        <v>252</v>
      </c>
      <c r="J14" t="str">
        <f>IF(Table3_1[[#This Row],[Discount_applied]]=0,"No Discount","Discount Applied")</f>
        <v>Discount Applied</v>
      </c>
    </row>
    <row r="15" spans="1:10" x14ac:dyDescent="0.3">
      <c r="A15" t="s">
        <v>279</v>
      </c>
      <c r="B15" s="1">
        <v>45761</v>
      </c>
      <c r="C15" t="s">
        <v>280</v>
      </c>
      <c r="D15">
        <v>2</v>
      </c>
      <c r="E15">
        <v>240</v>
      </c>
      <c r="F15" t="s">
        <v>26</v>
      </c>
      <c r="G15" t="s">
        <v>15</v>
      </c>
      <c r="H15">
        <v>0</v>
      </c>
      <c r="I15" t="s">
        <v>281</v>
      </c>
      <c r="J15" t="str">
        <f>IF(Table3_1[[#This Row],[Discount_applied]]=0,"No Discount","Discount Applied")</f>
        <v>No Discount</v>
      </c>
    </row>
    <row r="16" spans="1:10" x14ac:dyDescent="0.3">
      <c r="A16" t="s">
        <v>282</v>
      </c>
      <c r="B16" s="1">
        <v>45761</v>
      </c>
      <c r="C16" t="s">
        <v>283</v>
      </c>
      <c r="D16">
        <v>1</v>
      </c>
      <c r="E16">
        <v>450</v>
      </c>
      <c r="F16" t="s">
        <v>14</v>
      </c>
      <c r="G16" t="s">
        <v>27</v>
      </c>
      <c r="H16">
        <v>30</v>
      </c>
      <c r="I16" t="s">
        <v>284</v>
      </c>
      <c r="J16" t="str">
        <f>IF(Table3_1[[#This Row],[Discount_applied]]=0,"No Discount","Discount Applied")</f>
        <v>Discount Applied</v>
      </c>
    </row>
    <row r="17" spans="1:10" x14ac:dyDescent="0.3">
      <c r="A17" t="s">
        <v>285</v>
      </c>
      <c r="B17" s="1">
        <v>45762</v>
      </c>
      <c r="C17" t="s">
        <v>286</v>
      </c>
      <c r="D17">
        <v>2</v>
      </c>
      <c r="E17">
        <v>500</v>
      </c>
      <c r="F17" t="s">
        <v>26</v>
      </c>
      <c r="G17" t="s">
        <v>15</v>
      </c>
      <c r="H17">
        <v>0</v>
      </c>
      <c r="I17" t="s">
        <v>287</v>
      </c>
      <c r="J17" t="str">
        <f>IF(Table3_1[[#This Row],[Discount_applied]]=0,"No Discount","Discount Applied")</f>
        <v>No Discount</v>
      </c>
    </row>
    <row r="18" spans="1:10" x14ac:dyDescent="0.3">
      <c r="A18" t="s">
        <v>288</v>
      </c>
      <c r="B18" s="1">
        <v>45763</v>
      </c>
      <c r="C18" t="s">
        <v>289</v>
      </c>
      <c r="D18">
        <v>1</v>
      </c>
      <c r="E18">
        <v>220</v>
      </c>
      <c r="F18" t="s">
        <v>14</v>
      </c>
      <c r="G18" t="s">
        <v>27</v>
      </c>
      <c r="H18">
        <v>20</v>
      </c>
      <c r="I18" t="s">
        <v>290</v>
      </c>
      <c r="J18" t="str">
        <f>IF(Table3_1[[#This Row],[Discount_applied]]=0,"No Discount","Discount Applied")</f>
        <v>Discount Applied</v>
      </c>
    </row>
    <row r="19" spans="1:10" x14ac:dyDescent="0.3">
      <c r="A19" t="s">
        <v>291</v>
      </c>
      <c r="B19" s="1">
        <v>45763</v>
      </c>
      <c r="C19" t="s">
        <v>292</v>
      </c>
      <c r="D19">
        <v>3</v>
      </c>
      <c r="E19">
        <v>180</v>
      </c>
      <c r="F19" t="s">
        <v>26</v>
      </c>
      <c r="G19" t="s">
        <v>257</v>
      </c>
      <c r="H19">
        <v>0</v>
      </c>
      <c r="I19" t="s">
        <v>293</v>
      </c>
      <c r="J19" t="str">
        <f>IF(Table3_1[[#This Row],[Discount_applied]]=0,"No Discount","Discount Applied")</f>
        <v>No Discount</v>
      </c>
    </row>
    <row r="20" spans="1:10" x14ac:dyDescent="0.3">
      <c r="A20" t="s">
        <v>294</v>
      </c>
      <c r="B20" s="1">
        <v>45764</v>
      </c>
      <c r="C20" t="s">
        <v>295</v>
      </c>
      <c r="D20">
        <v>1</v>
      </c>
      <c r="E20">
        <v>280</v>
      </c>
      <c r="F20" t="s">
        <v>14</v>
      </c>
      <c r="G20" t="s">
        <v>27</v>
      </c>
      <c r="H20">
        <v>0</v>
      </c>
      <c r="I20" t="s">
        <v>296</v>
      </c>
      <c r="J20" t="str">
        <f>IF(Table3_1[[#This Row],[Discount_applied]]=0,"No Discount","Discount Applied")</f>
        <v>No Discount</v>
      </c>
    </row>
    <row r="21" spans="1:10" x14ac:dyDescent="0.3">
      <c r="A21" t="s">
        <v>297</v>
      </c>
      <c r="B21" s="1">
        <v>45765</v>
      </c>
      <c r="C21" t="s">
        <v>266</v>
      </c>
      <c r="D21">
        <v>2</v>
      </c>
      <c r="E21">
        <v>500</v>
      </c>
      <c r="F21" t="s">
        <v>26</v>
      </c>
      <c r="G21" t="s">
        <v>15</v>
      </c>
      <c r="H21">
        <v>10</v>
      </c>
      <c r="I21" t="s">
        <v>298</v>
      </c>
      <c r="J21" t="str">
        <f>IF(Table3_1[[#This Row],[Discount_applied]]=0,"No Discount","Discount Applied")</f>
        <v>Discount Applied</v>
      </c>
    </row>
    <row r="22" spans="1:10" x14ac:dyDescent="0.3">
      <c r="A22" t="s">
        <v>299</v>
      </c>
      <c r="B22" s="1">
        <v>45765</v>
      </c>
      <c r="C22" t="s">
        <v>278</v>
      </c>
      <c r="D22">
        <v>1</v>
      </c>
      <c r="E22">
        <v>160</v>
      </c>
      <c r="F22" t="s">
        <v>14</v>
      </c>
      <c r="G22" t="s">
        <v>257</v>
      </c>
      <c r="H22">
        <v>0</v>
      </c>
      <c r="I22" t="s">
        <v>300</v>
      </c>
      <c r="J22" t="str">
        <f>IF(Table3_1[[#This Row],[Discount_applied]]=0,"No Discount","Discount Applied")</f>
        <v>No Discount</v>
      </c>
    </row>
    <row r="23" spans="1:10" x14ac:dyDescent="0.3">
      <c r="A23" t="s">
        <v>301</v>
      </c>
      <c r="B23" s="1">
        <v>45766</v>
      </c>
      <c r="C23" t="s">
        <v>302</v>
      </c>
      <c r="D23">
        <v>1</v>
      </c>
      <c r="E23">
        <v>380</v>
      </c>
      <c r="F23" t="s">
        <v>26</v>
      </c>
      <c r="G23" t="s">
        <v>27</v>
      </c>
      <c r="H23">
        <v>25</v>
      </c>
      <c r="I23" t="s">
        <v>287</v>
      </c>
      <c r="J23" t="str">
        <f>IF(Table3_1[[#This Row],[Discount_applied]]=0,"No Discount","Discount Applied")</f>
        <v>Discount Applied</v>
      </c>
    </row>
    <row r="24" spans="1:10" x14ac:dyDescent="0.3">
      <c r="A24" t="s">
        <v>303</v>
      </c>
      <c r="B24" s="1">
        <v>45767</v>
      </c>
      <c r="C24" t="s">
        <v>269</v>
      </c>
      <c r="D24">
        <v>2</v>
      </c>
      <c r="E24">
        <v>200</v>
      </c>
      <c r="F24" t="s">
        <v>14</v>
      </c>
      <c r="G24" t="s">
        <v>15</v>
      </c>
      <c r="H24">
        <v>0</v>
      </c>
      <c r="I24" t="s">
        <v>290</v>
      </c>
      <c r="J24" t="str">
        <f>IF(Table3_1[[#This Row],[Discount_applied]]=0,"No Discount","Discount Applied")</f>
        <v>No Discount</v>
      </c>
    </row>
    <row r="25" spans="1:10" x14ac:dyDescent="0.3">
      <c r="A25" t="s">
        <v>304</v>
      </c>
      <c r="B25" s="1">
        <v>45767</v>
      </c>
      <c r="C25" t="s">
        <v>305</v>
      </c>
      <c r="D25">
        <v>1</v>
      </c>
      <c r="E25">
        <v>140</v>
      </c>
      <c r="F25" t="s">
        <v>26</v>
      </c>
      <c r="G25" t="s">
        <v>27</v>
      </c>
      <c r="H25">
        <v>0</v>
      </c>
      <c r="I25" t="s">
        <v>293</v>
      </c>
      <c r="J25" t="str">
        <f>IF(Table3_1[[#This Row],[Discount_applied]]=0,"No Discount","Discount Applied")</f>
        <v>No Discount</v>
      </c>
    </row>
    <row r="26" spans="1:10" x14ac:dyDescent="0.3">
      <c r="A26" t="s">
        <v>306</v>
      </c>
      <c r="B26" s="1">
        <v>45768</v>
      </c>
      <c r="C26" t="s">
        <v>307</v>
      </c>
      <c r="D26">
        <v>4</v>
      </c>
      <c r="E26">
        <v>100</v>
      </c>
      <c r="F26" t="s">
        <v>14</v>
      </c>
      <c r="G26" t="s">
        <v>257</v>
      </c>
      <c r="H26">
        <v>10</v>
      </c>
      <c r="I26" t="s">
        <v>296</v>
      </c>
      <c r="J26" t="str">
        <f>IF(Table3_1[[#This Row],[Discount_applied]]=0,"No Discount","Discount Applied")</f>
        <v>Discount Applied</v>
      </c>
    </row>
    <row r="27" spans="1:10" x14ac:dyDescent="0.3">
      <c r="A27" t="s">
        <v>308</v>
      </c>
      <c r="B27" s="1">
        <v>45769</v>
      </c>
      <c r="C27" t="s">
        <v>309</v>
      </c>
      <c r="D27">
        <v>2</v>
      </c>
      <c r="E27">
        <v>320</v>
      </c>
      <c r="F27" t="s">
        <v>26</v>
      </c>
      <c r="G27" t="s">
        <v>27</v>
      </c>
      <c r="H27">
        <v>0</v>
      </c>
      <c r="I27" t="s">
        <v>298</v>
      </c>
      <c r="J27" t="str">
        <f>IF(Table3_1[[#This Row],[Discount_applied]]=0,"No Discount","Discount Applied")</f>
        <v>No Discount</v>
      </c>
    </row>
    <row r="28" spans="1:10" x14ac:dyDescent="0.3">
      <c r="A28" t="s">
        <v>310</v>
      </c>
      <c r="B28" s="1">
        <v>45769</v>
      </c>
      <c r="C28" t="s">
        <v>272</v>
      </c>
      <c r="D28">
        <v>1</v>
      </c>
      <c r="E28">
        <v>350</v>
      </c>
      <c r="F28" t="s">
        <v>14</v>
      </c>
      <c r="G28" t="s">
        <v>15</v>
      </c>
      <c r="H28">
        <v>15</v>
      </c>
      <c r="I28" t="s">
        <v>287</v>
      </c>
      <c r="J28" t="str">
        <f>IF(Table3_1[[#This Row],[Discount_applied]]=0,"No Discount","Discount Applied")</f>
        <v>Discount Applied</v>
      </c>
    </row>
    <row r="29" spans="1:10" x14ac:dyDescent="0.3">
      <c r="A29" t="s">
        <v>311</v>
      </c>
      <c r="B29" s="1">
        <v>45770</v>
      </c>
      <c r="C29" t="s">
        <v>312</v>
      </c>
      <c r="D29">
        <v>2</v>
      </c>
      <c r="E29">
        <v>240</v>
      </c>
      <c r="F29" t="s">
        <v>26</v>
      </c>
      <c r="G29" t="s">
        <v>257</v>
      </c>
      <c r="H29">
        <v>0</v>
      </c>
      <c r="I29" t="s">
        <v>300</v>
      </c>
      <c r="J29" t="str">
        <f>IF(Table3_1[[#This Row],[Discount_applied]]=0,"No Discount","Discount Applied")</f>
        <v>No Discount</v>
      </c>
    </row>
    <row r="30" spans="1:10" x14ac:dyDescent="0.3">
      <c r="A30" t="s">
        <v>313</v>
      </c>
      <c r="B30" s="1">
        <v>45771</v>
      </c>
      <c r="C30" t="s">
        <v>314</v>
      </c>
      <c r="D30">
        <v>1</v>
      </c>
      <c r="E30">
        <v>300</v>
      </c>
      <c r="F30" t="s">
        <v>14</v>
      </c>
      <c r="G30" t="s">
        <v>27</v>
      </c>
      <c r="H30">
        <v>20</v>
      </c>
      <c r="I30" t="s">
        <v>290</v>
      </c>
      <c r="J30" t="str">
        <f>IF(Table3_1[[#This Row],[Discount_applied]]=0,"No Discount","Discount Applied")</f>
        <v>Discount Applied</v>
      </c>
    </row>
    <row r="31" spans="1:10" x14ac:dyDescent="0.3">
      <c r="A31" t="s">
        <v>315</v>
      </c>
      <c r="B31" s="1">
        <v>45771</v>
      </c>
      <c r="C31" t="s">
        <v>256</v>
      </c>
      <c r="D31">
        <v>3</v>
      </c>
      <c r="E31">
        <v>150</v>
      </c>
      <c r="F31" t="s">
        <v>26</v>
      </c>
      <c r="G31" t="s">
        <v>15</v>
      </c>
      <c r="H31">
        <v>0</v>
      </c>
      <c r="I31" t="s">
        <v>293</v>
      </c>
      <c r="J31" t="str">
        <f>IF(Table3_1[[#This Row],[Discount_applied]]=0,"No Discount","Discount Applied")</f>
        <v>No Discount</v>
      </c>
    </row>
    <row r="32" spans="1:10" x14ac:dyDescent="0.3">
      <c r="A32" t="s">
        <v>316</v>
      </c>
      <c r="B32" s="1">
        <v>45772</v>
      </c>
      <c r="C32" t="s">
        <v>251</v>
      </c>
      <c r="D32">
        <v>2</v>
      </c>
      <c r="E32">
        <v>400</v>
      </c>
      <c r="F32" t="s">
        <v>14</v>
      </c>
      <c r="G32" t="s">
        <v>27</v>
      </c>
      <c r="H32">
        <v>0</v>
      </c>
      <c r="I32" t="s">
        <v>296</v>
      </c>
      <c r="J32" t="str">
        <f>IF(Table3_1[[#This Row],[Discount_applied]]=0,"No Discount","Discount Applied")</f>
        <v>No Discount</v>
      </c>
    </row>
    <row r="33" spans="1:10" x14ac:dyDescent="0.3">
      <c r="A33" t="s">
        <v>317</v>
      </c>
      <c r="B33" s="1">
        <v>45773</v>
      </c>
      <c r="C33" t="s">
        <v>318</v>
      </c>
      <c r="D33">
        <v>1</v>
      </c>
      <c r="E33">
        <v>250</v>
      </c>
      <c r="F33" t="s">
        <v>26</v>
      </c>
      <c r="G33" t="s">
        <v>15</v>
      </c>
      <c r="H33">
        <v>30</v>
      </c>
      <c r="I33" t="s">
        <v>298</v>
      </c>
      <c r="J33" t="str">
        <f>IF(Table3_1[[#This Row],[Discount_applied]]=0,"No Discount","Discount Applied")</f>
        <v>Discount Applied</v>
      </c>
    </row>
    <row r="34" spans="1:10" x14ac:dyDescent="0.3">
      <c r="A34" t="s">
        <v>319</v>
      </c>
      <c r="B34" s="1">
        <v>45773</v>
      </c>
      <c r="C34" t="s">
        <v>280</v>
      </c>
      <c r="D34">
        <v>1</v>
      </c>
      <c r="E34">
        <v>150</v>
      </c>
      <c r="F34" t="s">
        <v>14</v>
      </c>
      <c r="G34" t="s">
        <v>257</v>
      </c>
      <c r="H34">
        <v>0</v>
      </c>
      <c r="I34" t="s">
        <v>287</v>
      </c>
      <c r="J34" t="str">
        <f>IF(Table3_1[[#This Row],[Discount_applied]]=0,"No Discount","Discount Applied")</f>
        <v>No Discount</v>
      </c>
    </row>
    <row r="35" spans="1:10" x14ac:dyDescent="0.3">
      <c r="A35" t="s">
        <v>320</v>
      </c>
      <c r="B35" s="1">
        <v>45774</v>
      </c>
      <c r="C35" t="s">
        <v>244</v>
      </c>
      <c r="D35">
        <v>2</v>
      </c>
      <c r="E35">
        <v>300</v>
      </c>
      <c r="F35" t="s">
        <v>26</v>
      </c>
      <c r="G35" t="s">
        <v>27</v>
      </c>
      <c r="H35">
        <v>0</v>
      </c>
      <c r="I35" t="s">
        <v>300</v>
      </c>
      <c r="J35" t="str">
        <f>IF(Table3_1[[#This Row],[Discount_applied]]=0,"No Discount","Discount Applied")</f>
        <v>No Discount</v>
      </c>
    </row>
    <row r="36" spans="1:10" x14ac:dyDescent="0.3">
      <c r="A36" t="s">
        <v>321</v>
      </c>
      <c r="B36" s="1">
        <v>45775</v>
      </c>
      <c r="C36" t="s">
        <v>322</v>
      </c>
      <c r="D36">
        <v>3</v>
      </c>
      <c r="E36">
        <v>180</v>
      </c>
      <c r="F36" t="s">
        <v>14</v>
      </c>
      <c r="G36" t="s">
        <v>15</v>
      </c>
      <c r="H36">
        <v>10</v>
      </c>
      <c r="I36" t="s">
        <v>290</v>
      </c>
      <c r="J36" t="str">
        <f>IF(Table3_1[[#This Row],[Discount_applied]]=0,"No Discount","Discount Applied")</f>
        <v>Discount Applied</v>
      </c>
    </row>
    <row r="37" spans="1:10" x14ac:dyDescent="0.3">
      <c r="A37" t="s">
        <v>323</v>
      </c>
      <c r="B37" s="1">
        <v>45775</v>
      </c>
      <c r="C37" t="s">
        <v>324</v>
      </c>
      <c r="D37">
        <v>2</v>
      </c>
      <c r="E37">
        <v>90</v>
      </c>
      <c r="F37" t="s">
        <v>26</v>
      </c>
      <c r="G37" t="s">
        <v>27</v>
      </c>
      <c r="H37">
        <v>0</v>
      </c>
      <c r="I37" t="s">
        <v>293</v>
      </c>
      <c r="J37" t="str">
        <f>IF(Table3_1[[#This Row],[Discount_applied]]=0,"No Discount","Discount Applied")</f>
        <v>No Discount</v>
      </c>
    </row>
    <row r="38" spans="1:10" x14ac:dyDescent="0.3">
      <c r="A38" t="s">
        <v>325</v>
      </c>
      <c r="B38" s="1">
        <v>45776</v>
      </c>
      <c r="C38" t="s">
        <v>326</v>
      </c>
      <c r="D38">
        <v>1</v>
      </c>
      <c r="E38">
        <v>320</v>
      </c>
      <c r="F38" t="s">
        <v>14</v>
      </c>
      <c r="G38" t="s">
        <v>257</v>
      </c>
      <c r="H38">
        <v>20</v>
      </c>
      <c r="I38" t="s">
        <v>296</v>
      </c>
      <c r="J38" t="str">
        <f>IF(Table3_1[[#This Row],[Discount_applied]]=0,"No Discount","Discount Applied")</f>
        <v>Discount Applied</v>
      </c>
    </row>
    <row r="39" spans="1:10" x14ac:dyDescent="0.3">
      <c r="A39" t="s">
        <v>327</v>
      </c>
      <c r="B39" s="1">
        <v>45777</v>
      </c>
      <c r="C39" t="s">
        <v>328</v>
      </c>
      <c r="D39">
        <v>3</v>
      </c>
      <c r="E39">
        <v>120</v>
      </c>
      <c r="F39" t="s">
        <v>26</v>
      </c>
      <c r="G39" t="s">
        <v>15</v>
      </c>
      <c r="H39">
        <v>0</v>
      </c>
      <c r="I39" t="s">
        <v>298</v>
      </c>
      <c r="J39" t="str">
        <f>IF(Table3_1[[#This Row],[Discount_applied]]=0,"No Discount","Discount Applied")</f>
        <v>No Discount</v>
      </c>
    </row>
    <row r="40" spans="1:10" x14ac:dyDescent="0.3">
      <c r="A40" t="s">
        <v>329</v>
      </c>
      <c r="B40" s="1">
        <v>45777</v>
      </c>
      <c r="C40" t="s">
        <v>283</v>
      </c>
      <c r="D40">
        <v>1</v>
      </c>
      <c r="E40">
        <v>450</v>
      </c>
      <c r="F40" t="s">
        <v>14</v>
      </c>
      <c r="G40" t="s">
        <v>27</v>
      </c>
      <c r="H40">
        <v>15</v>
      </c>
      <c r="I40" t="s">
        <v>287</v>
      </c>
      <c r="J40" t="str">
        <f>IF(Table3_1[[#This Row],[Discount_applied]]=0,"No Discount","Discount Applied")</f>
        <v>Discount Applied</v>
      </c>
    </row>
    <row r="41" spans="1:10" x14ac:dyDescent="0.3">
      <c r="A41" t="s">
        <v>330</v>
      </c>
      <c r="B41" s="1">
        <v>45778</v>
      </c>
      <c r="C41" t="s">
        <v>331</v>
      </c>
      <c r="D41">
        <v>2</v>
      </c>
      <c r="E41">
        <v>260</v>
      </c>
      <c r="F41" t="s">
        <v>26</v>
      </c>
      <c r="G41" t="s">
        <v>15</v>
      </c>
      <c r="H41">
        <v>0</v>
      </c>
      <c r="I41" t="s">
        <v>300</v>
      </c>
      <c r="J41" t="str">
        <f>IF(Table3_1[[#This Row],[Discount_applied]]=0,"No Discount","Discount Applied")</f>
        <v>No Discount</v>
      </c>
    </row>
    <row r="42" spans="1:10" x14ac:dyDescent="0.3">
      <c r="A42" t="s">
        <v>332</v>
      </c>
      <c r="B42" s="1">
        <v>45779</v>
      </c>
      <c r="C42" t="s">
        <v>333</v>
      </c>
      <c r="D42">
        <v>3</v>
      </c>
      <c r="E42">
        <v>300</v>
      </c>
      <c r="F42" t="s">
        <v>14</v>
      </c>
      <c r="G42" t="s">
        <v>257</v>
      </c>
      <c r="H42">
        <v>20</v>
      </c>
      <c r="I42" t="s">
        <v>290</v>
      </c>
      <c r="J42" t="str">
        <f>IF(Table3_1[[#This Row],[Discount_applied]]=0,"No Discount","Discount Applied")</f>
        <v>Discount Applied</v>
      </c>
    </row>
    <row r="43" spans="1:10" x14ac:dyDescent="0.3">
      <c r="A43" t="s">
        <v>334</v>
      </c>
      <c r="B43" s="1">
        <v>45779</v>
      </c>
      <c r="C43" t="s">
        <v>335</v>
      </c>
      <c r="D43">
        <v>1</v>
      </c>
      <c r="E43">
        <v>200</v>
      </c>
      <c r="F43" t="s">
        <v>26</v>
      </c>
      <c r="G43" t="s">
        <v>27</v>
      </c>
      <c r="H43">
        <v>0</v>
      </c>
      <c r="I43" t="s">
        <v>293</v>
      </c>
      <c r="J43" t="str">
        <f>IF(Table3_1[[#This Row],[Discount_applied]]=0,"No Discount","Discount Applied")</f>
        <v>No Discount</v>
      </c>
    </row>
    <row r="44" spans="1:10" x14ac:dyDescent="0.3">
      <c r="A44" t="s">
        <v>336</v>
      </c>
      <c r="B44" s="1">
        <v>45780</v>
      </c>
      <c r="C44" t="s">
        <v>337</v>
      </c>
      <c r="D44">
        <v>2</v>
      </c>
      <c r="E44">
        <v>240</v>
      </c>
      <c r="F44" t="s">
        <v>14</v>
      </c>
      <c r="G44" t="s">
        <v>27</v>
      </c>
      <c r="H44">
        <v>10</v>
      </c>
      <c r="I44" t="s">
        <v>296</v>
      </c>
      <c r="J44" t="str">
        <f>IF(Table3_1[[#This Row],[Discount_applied]]=0,"No Discount","Discount Applied")</f>
        <v>Discount Applied</v>
      </c>
    </row>
    <row r="45" spans="1:10" x14ac:dyDescent="0.3">
      <c r="A45" t="s">
        <v>338</v>
      </c>
      <c r="B45" s="1">
        <v>45781</v>
      </c>
      <c r="C45" t="s">
        <v>339</v>
      </c>
      <c r="D45">
        <v>1</v>
      </c>
      <c r="E45">
        <v>320</v>
      </c>
      <c r="F45" t="s">
        <v>26</v>
      </c>
      <c r="G45" t="s">
        <v>15</v>
      </c>
      <c r="H45">
        <v>0</v>
      </c>
      <c r="I45" t="s">
        <v>298</v>
      </c>
      <c r="J45" t="str">
        <f>IF(Table3_1[[#This Row],[Discount_applied]]=0,"No Discount","Discount Applied")</f>
        <v>No Discount</v>
      </c>
    </row>
    <row r="46" spans="1:10" x14ac:dyDescent="0.3">
      <c r="A46" t="s">
        <v>340</v>
      </c>
      <c r="B46" s="1">
        <v>45781</v>
      </c>
      <c r="C46" t="s">
        <v>256</v>
      </c>
      <c r="D46">
        <v>4</v>
      </c>
      <c r="E46">
        <v>200</v>
      </c>
      <c r="F46" t="s">
        <v>14</v>
      </c>
      <c r="G46" t="s">
        <v>15</v>
      </c>
      <c r="H46">
        <v>0</v>
      </c>
      <c r="I46" t="s">
        <v>287</v>
      </c>
      <c r="J46" t="str">
        <f>IF(Table3_1[[#This Row],[Discount_applied]]=0,"No Discount","Discount Applied")</f>
        <v>No Discount</v>
      </c>
    </row>
    <row r="47" spans="1:10" x14ac:dyDescent="0.3">
      <c r="A47" t="s">
        <v>341</v>
      </c>
      <c r="B47" s="1">
        <v>45782</v>
      </c>
      <c r="C47" t="s">
        <v>260</v>
      </c>
      <c r="D47">
        <v>1</v>
      </c>
      <c r="E47">
        <v>250</v>
      </c>
      <c r="F47" t="s">
        <v>26</v>
      </c>
      <c r="G47" t="s">
        <v>27</v>
      </c>
      <c r="H47">
        <v>30</v>
      </c>
      <c r="I47" t="s">
        <v>300</v>
      </c>
      <c r="J47" t="str">
        <f>IF(Table3_1[[#This Row],[Discount_applied]]=0,"No Discount","Discount Applied")</f>
        <v>Discount Applied</v>
      </c>
    </row>
    <row r="48" spans="1:10" x14ac:dyDescent="0.3">
      <c r="A48" t="s">
        <v>342</v>
      </c>
      <c r="B48" s="1">
        <v>45783</v>
      </c>
      <c r="C48" t="s">
        <v>263</v>
      </c>
      <c r="D48">
        <v>2</v>
      </c>
      <c r="E48">
        <v>180</v>
      </c>
      <c r="F48" t="s">
        <v>14</v>
      </c>
      <c r="G48" t="s">
        <v>257</v>
      </c>
      <c r="H48">
        <v>0</v>
      </c>
      <c r="I48" t="s">
        <v>290</v>
      </c>
      <c r="J48" t="str">
        <f>IF(Table3_1[[#This Row],[Discount_applied]]=0,"No Discount","Discount Applied")</f>
        <v>No Discount</v>
      </c>
    </row>
    <row r="49" spans="1:10" x14ac:dyDescent="0.3">
      <c r="A49" t="s">
        <v>343</v>
      </c>
      <c r="B49" s="1">
        <v>45783</v>
      </c>
      <c r="C49" t="s">
        <v>251</v>
      </c>
      <c r="D49">
        <v>1</v>
      </c>
      <c r="E49">
        <v>200</v>
      </c>
      <c r="F49" t="s">
        <v>26</v>
      </c>
      <c r="G49" t="s">
        <v>27</v>
      </c>
      <c r="H49">
        <v>0</v>
      </c>
      <c r="I49" t="s">
        <v>293</v>
      </c>
      <c r="J49" t="str">
        <f>IF(Table3_1[[#This Row],[Discount_applied]]=0,"No Discount","Discount Applied")</f>
        <v>No Discount</v>
      </c>
    </row>
    <row r="50" spans="1:10" x14ac:dyDescent="0.3">
      <c r="A50" t="s">
        <v>344</v>
      </c>
      <c r="B50" s="1">
        <v>45784</v>
      </c>
      <c r="C50" t="s">
        <v>266</v>
      </c>
      <c r="D50">
        <v>2</v>
      </c>
      <c r="E50">
        <v>500</v>
      </c>
      <c r="F50" t="s">
        <v>14</v>
      </c>
      <c r="G50" t="s">
        <v>15</v>
      </c>
      <c r="H50">
        <v>15</v>
      </c>
      <c r="I50" t="s">
        <v>296</v>
      </c>
      <c r="J50" t="str">
        <f>IF(Table3_1[[#This Row],[Discount_applied]]=0,"No Discount","Discount Applied")</f>
        <v>Discount Applied</v>
      </c>
    </row>
    <row r="51" spans="1:10" x14ac:dyDescent="0.3">
      <c r="A51" t="s">
        <v>345</v>
      </c>
      <c r="B51" s="1">
        <v>45785</v>
      </c>
      <c r="C51" t="s">
        <v>269</v>
      </c>
      <c r="D51">
        <v>1</v>
      </c>
      <c r="E51">
        <v>180</v>
      </c>
      <c r="F51" t="s">
        <v>26</v>
      </c>
      <c r="G51" t="s">
        <v>27</v>
      </c>
      <c r="H51">
        <v>0</v>
      </c>
      <c r="I51" t="s">
        <v>298</v>
      </c>
      <c r="J51" t="str">
        <f>IF(Table3_1[[#This Row],[Discount_applied]]=0,"No Discount","Discount Applied")</f>
        <v>No Discount</v>
      </c>
    </row>
    <row r="52" spans="1:10" x14ac:dyDescent="0.3">
      <c r="A52" t="s">
        <v>346</v>
      </c>
      <c r="B52" s="1">
        <v>45785</v>
      </c>
      <c r="C52" t="s">
        <v>244</v>
      </c>
      <c r="D52">
        <v>3</v>
      </c>
      <c r="E52">
        <v>450</v>
      </c>
      <c r="F52" t="s">
        <v>14</v>
      </c>
      <c r="G52" t="s">
        <v>257</v>
      </c>
      <c r="H52">
        <v>20</v>
      </c>
      <c r="I52" t="s">
        <v>287</v>
      </c>
      <c r="J52" t="str">
        <f>IF(Table3_1[[#This Row],[Discount_applied]]=0,"No Discount","Discount Applied")</f>
        <v>Discount Applied</v>
      </c>
    </row>
    <row r="53" spans="1:10" x14ac:dyDescent="0.3">
      <c r="A53" t="s">
        <v>347</v>
      </c>
      <c r="B53" s="1">
        <v>45786</v>
      </c>
      <c r="C53" t="s">
        <v>272</v>
      </c>
      <c r="D53">
        <v>1</v>
      </c>
      <c r="E53">
        <v>300</v>
      </c>
      <c r="F53" t="s">
        <v>26</v>
      </c>
      <c r="G53" t="s">
        <v>15</v>
      </c>
      <c r="H53">
        <v>0</v>
      </c>
      <c r="I53" t="s">
        <v>300</v>
      </c>
      <c r="J53" t="str">
        <f>IF(Table3_1[[#This Row],[Discount_applied]]=0,"No Discount","Discount Applied")</f>
        <v>No Discount</v>
      </c>
    </row>
    <row r="54" spans="1:10" x14ac:dyDescent="0.3">
      <c r="A54" t="s">
        <v>348</v>
      </c>
      <c r="B54" s="1">
        <v>45787</v>
      </c>
      <c r="C54" t="s">
        <v>274</v>
      </c>
      <c r="D54">
        <v>2</v>
      </c>
      <c r="E54">
        <v>260</v>
      </c>
      <c r="F54" t="s">
        <v>14</v>
      </c>
      <c r="G54" t="s">
        <v>27</v>
      </c>
      <c r="H54">
        <v>0</v>
      </c>
      <c r="I54" t="s">
        <v>290</v>
      </c>
      <c r="J54" t="str">
        <f>IF(Table3_1[[#This Row],[Discount_applied]]=0,"No Discount","Discount Applied")</f>
        <v>No Discount</v>
      </c>
    </row>
    <row r="55" spans="1:10" x14ac:dyDescent="0.3">
      <c r="A55" t="s">
        <v>349</v>
      </c>
      <c r="B55" s="1">
        <v>45787</v>
      </c>
      <c r="C55" t="s">
        <v>276</v>
      </c>
      <c r="D55">
        <v>1</v>
      </c>
      <c r="E55">
        <v>350</v>
      </c>
      <c r="F55" t="s">
        <v>26</v>
      </c>
      <c r="G55" t="s">
        <v>15</v>
      </c>
      <c r="H55">
        <v>25</v>
      </c>
      <c r="I55" t="s">
        <v>293</v>
      </c>
      <c r="J55" t="str">
        <f>IF(Table3_1[[#This Row],[Discount_applied]]=0,"No Discount","Discount Applied")</f>
        <v>Discount Applied</v>
      </c>
    </row>
    <row r="56" spans="1:10" x14ac:dyDescent="0.3">
      <c r="A56" t="s">
        <v>350</v>
      </c>
      <c r="B56" s="1">
        <v>45788</v>
      </c>
      <c r="C56" t="s">
        <v>278</v>
      </c>
      <c r="D56">
        <v>3</v>
      </c>
      <c r="E56">
        <v>420</v>
      </c>
      <c r="F56" t="s">
        <v>14</v>
      </c>
      <c r="G56" t="s">
        <v>257</v>
      </c>
      <c r="H56">
        <v>0</v>
      </c>
      <c r="I56" t="s">
        <v>296</v>
      </c>
      <c r="J56" t="str">
        <f>IF(Table3_1[[#This Row],[Discount_applied]]=0,"No Discount","Discount Applied")</f>
        <v>No Discount</v>
      </c>
    </row>
    <row r="57" spans="1:10" x14ac:dyDescent="0.3">
      <c r="A57" t="s">
        <v>351</v>
      </c>
      <c r="B57" s="1">
        <v>45789</v>
      </c>
      <c r="C57" t="s">
        <v>286</v>
      </c>
      <c r="D57">
        <v>2</v>
      </c>
      <c r="E57">
        <v>500</v>
      </c>
      <c r="F57" t="s">
        <v>26</v>
      </c>
      <c r="G57" t="s">
        <v>27</v>
      </c>
      <c r="H57">
        <v>0</v>
      </c>
      <c r="I57" t="s">
        <v>298</v>
      </c>
      <c r="J57" t="str">
        <f>IF(Table3_1[[#This Row],[Discount_applied]]=0,"No Discount","Discount Applied")</f>
        <v>No Discount</v>
      </c>
    </row>
    <row r="58" spans="1:10" x14ac:dyDescent="0.3">
      <c r="A58" t="s">
        <v>352</v>
      </c>
      <c r="B58" s="1">
        <v>45789</v>
      </c>
      <c r="C58" t="s">
        <v>289</v>
      </c>
      <c r="D58">
        <v>1</v>
      </c>
      <c r="E58">
        <v>220</v>
      </c>
      <c r="F58" t="s">
        <v>14</v>
      </c>
      <c r="G58" t="s">
        <v>27</v>
      </c>
      <c r="H58">
        <v>10</v>
      </c>
      <c r="I58" t="s">
        <v>287</v>
      </c>
      <c r="J58" t="str">
        <f>IF(Table3_1[[#This Row],[Discount_applied]]=0,"No Discount","Discount Applied")</f>
        <v>Discount Applied</v>
      </c>
    </row>
    <row r="59" spans="1:10" x14ac:dyDescent="0.3">
      <c r="A59" t="s">
        <v>353</v>
      </c>
      <c r="B59" s="1">
        <v>45790</v>
      </c>
      <c r="C59" t="s">
        <v>292</v>
      </c>
      <c r="D59">
        <v>3</v>
      </c>
      <c r="E59">
        <v>180</v>
      </c>
      <c r="F59" t="s">
        <v>26</v>
      </c>
      <c r="G59" t="s">
        <v>257</v>
      </c>
      <c r="H59">
        <v>0</v>
      </c>
      <c r="I59" t="s">
        <v>300</v>
      </c>
      <c r="J59" t="str">
        <f>IF(Table3_1[[#This Row],[Discount_applied]]=0,"No Discount","Discount Applied")</f>
        <v>No Discount</v>
      </c>
    </row>
    <row r="60" spans="1:10" x14ac:dyDescent="0.3">
      <c r="A60" t="s">
        <v>354</v>
      </c>
      <c r="B60" s="1">
        <v>45791</v>
      </c>
      <c r="C60" t="s">
        <v>295</v>
      </c>
      <c r="D60">
        <v>1</v>
      </c>
      <c r="E60">
        <v>280</v>
      </c>
      <c r="F60" t="s">
        <v>14</v>
      </c>
      <c r="G60" t="s">
        <v>15</v>
      </c>
      <c r="H60">
        <v>0</v>
      </c>
      <c r="I60" t="s">
        <v>290</v>
      </c>
      <c r="J60" t="str">
        <f>IF(Table3_1[[#This Row],[Discount_applied]]=0,"No Discount","Discount Applied")</f>
        <v>No Discount</v>
      </c>
    </row>
    <row r="61" spans="1:10" x14ac:dyDescent="0.3">
      <c r="A61" t="s">
        <v>355</v>
      </c>
      <c r="B61" s="1">
        <v>45791</v>
      </c>
      <c r="C61" t="s">
        <v>266</v>
      </c>
      <c r="D61">
        <v>2</v>
      </c>
      <c r="E61">
        <v>500</v>
      </c>
      <c r="F61" t="s">
        <v>26</v>
      </c>
      <c r="G61" t="s">
        <v>15</v>
      </c>
      <c r="H61">
        <v>15</v>
      </c>
      <c r="I61" t="s">
        <v>293</v>
      </c>
      <c r="J61" t="str">
        <f>IF(Table3_1[[#This Row],[Discount_applied]]=0,"No Discount","Discount Applied")</f>
        <v>Discount Applied</v>
      </c>
    </row>
    <row r="62" spans="1:10" x14ac:dyDescent="0.3">
      <c r="A62" t="s">
        <v>356</v>
      </c>
      <c r="B62" s="1">
        <v>45792</v>
      </c>
      <c r="C62" t="s">
        <v>278</v>
      </c>
      <c r="D62">
        <v>1</v>
      </c>
      <c r="E62">
        <v>160</v>
      </c>
      <c r="F62" t="s">
        <v>14</v>
      </c>
      <c r="G62" t="s">
        <v>257</v>
      </c>
      <c r="H62">
        <v>0</v>
      </c>
      <c r="I62" t="s">
        <v>296</v>
      </c>
      <c r="J62" t="str">
        <f>IF(Table3_1[[#This Row],[Discount_applied]]=0,"No Discount","Discount Applied")</f>
        <v>No Discount</v>
      </c>
    </row>
    <row r="63" spans="1:10" x14ac:dyDescent="0.3">
      <c r="A63" t="s">
        <v>357</v>
      </c>
      <c r="B63" s="1">
        <v>45792</v>
      </c>
      <c r="C63" t="s">
        <v>302</v>
      </c>
      <c r="D63">
        <v>1</v>
      </c>
      <c r="E63">
        <v>380</v>
      </c>
      <c r="F63" t="s">
        <v>26</v>
      </c>
      <c r="G63" t="s">
        <v>27</v>
      </c>
      <c r="H63">
        <v>0</v>
      </c>
      <c r="I63" t="s">
        <v>298</v>
      </c>
      <c r="J63" t="str">
        <f>IF(Table3_1[[#This Row],[Discount_applied]]=0,"No Discount","Discount Applied")</f>
        <v>No Discount</v>
      </c>
    </row>
    <row r="64" spans="1:10" x14ac:dyDescent="0.3">
      <c r="A64" t="s">
        <v>358</v>
      </c>
      <c r="B64" s="1">
        <v>45793</v>
      </c>
      <c r="C64" t="s">
        <v>269</v>
      </c>
      <c r="D64">
        <v>2</v>
      </c>
      <c r="E64">
        <v>200</v>
      </c>
      <c r="F64" t="s">
        <v>14</v>
      </c>
      <c r="G64" t="s">
        <v>27</v>
      </c>
      <c r="H64">
        <v>10</v>
      </c>
      <c r="I64" t="s">
        <v>287</v>
      </c>
      <c r="J64" t="str">
        <f>IF(Table3_1[[#This Row],[Discount_applied]]=0,"No Discount","Discount Applied")</f>
        <v>Discount Applied</v>
      </c>
    </row>
    <row r="65" spans="1:10" x14ac:dyDescent="0.3">
      <c r="A65" t="s">
        <v>359</v>
      </c>
      <c r="B65" s="1">
        <v>45793</v>
      </c>
      <c r="C65" t="s">
        <v>305</v>
      </c>
      <c r="D65">
        <v>1</v>
      </c>
      <c r="E65">
        <v>140</v>
      </c>
      <c r="F65" t="s">
        <v>26</v>
      </c>
      <c r="G65" t="s">
        <v>15</v>
      </c>
      <c r="H65">
        <v>0</v>
      </c>
      <c r="I65" t="s">
        <v>300</v>
      </c>
      <c r="J65" t="str">
        <f>IF(Table3_1[[#This Row],[Discount_applied]]=0,"No Discount","Discount Applied")</f>
        <v>No Discount</v>
      </c>
    </row>
    <row r="66" spans="1:10" x14ac:dyDescent="0.3">
      <c r="A66" t="s">
        <v>360</v>
      </c>
      <c r="B66" s="1">
        <v>45794</v>
      </c>
      <c r="C66" t="s">
        <v>307</v>
      </c>
      <c r="D66">
        <v>4</v>
      </c>
      <c r="E66">
        <v>100</v>
      </c>
      <c r="F66" t="s">
        <v>14</v>
      </c>
      <c r="G66" t="s">
        <v>27</v>
      </c>
      <c r="H66">
        <v>0</v>
      </c>
      <c r="I66" t="s">
        <v>290</v>
      </c>
      <c r="J66" t="str">
        <f>IF(Table3_1[[#This Row],[Discount_applied]]=0,"No Discount","Discount Applied")</f>
        <v>No Discount</v>
      </c>
    </row>
    <row r="67" spans="1:10" x14ac:dyDescent="0.3">
      <c r="A67" t="s">
        <v>361</v>
      </c>
      <c r="B67" s="1">
        <v>45794</v>
      </c>
      <c r="C67" t="s">
        <v>295</v>
      </c>
      <c r="D67">
        <v>1</v>
      </c>
      <c r="E67">
        <v>280</v>
      </c>
      <c r="F67" t="s">
        <v>14</v>
      </c>
      <c r="G67" t="s">
        <v>27</v>
      </c>
      <c r="H67">
        <v>20</v>
      </c>
      <c r="I67" t="s">
        <v>287</v>
      </c>
      <c r="J67" t="str">
        <f>IF(Table3_1[[#This Row],[Discount_applied]]=0,"No Discount","Discount Applied")</f>
        <v>Discount Applied</v>
      </c>
    </row>
    <row r="68" spans="1:10" x14ac:dyDescent="0.3">
      <c r="A68" t="s">
        <v>362</v>
      </c>
      <c r="B68" s="1">
        <v>45795</v>
      </c>
      <c r="C68" t="s">
        <v>286</v>
      </c>
      <c r="D68">
        <v>2</v>
      </c>
      <c r="E68">
        <v>500</v>
      </c>
      <c r="F68" t="s">
        <v>26</v>
      </c>
      <c r="G68" t="s">
        <v>15</v>
      </c>
      <c r="H68">
        <v>0</v>
      </c>
      <c r="I68" t="s">
        <v>290</v>
      </c>
      <c r="J68" t="str">
        <f>IF(Table3_1[[#This Row],[Discount_applied]]=0,"No Discount","Discount Applied")</f>
        <v>No Discount</v>
      </c>
    </row>
    <row r="69" spans="1:10" x14ac:dyDescent="0.3">
      <c r="A69" t="s">
        <v>363</v>
      </c>
      <c r="B69" s="1">
        <v>45795</v>
      </c>
      <c r="C69" t="s">
        <v>289</v>
      </c>
      <c r="D69">
        <v>1</v>
      </c>
      <c r="E69">
        <v>220</v>
      </c>
      <c r="F69" t="s">
        <v>14</v>
      </c>
      <c r="G69" t="s">
        <v>257</v>
      </c>
      <c r="H69">
        <v>0</v>
      </c>
      <c r="I69" t="s">
        <v>293</v>
      </c>
      <c r="J69" t="str">
        <f>IF(Table3_1[[#This Row],[Discount_applied]]=0,"No Discount","Discount Applied")</f>
        <v>No Discount</v>
      </c>
    </row>
    <row r="70" spans="1:10" x14ac:dyDescent="0.3">
      <c r="A70" t="s">
        <v>364</v>
      </c>
      <c r="B70" s="1">
        <v>45796</v>
      </c>
      <c r="C70" t="s">
        <v>292</v>
      </c>
      <c r="D70">
        <v>3</v>
      </c>
      <c r="E70">
        <v>180</v>
      </c>
      <c r="F70" t="s">
        <v>26</v>
      </c>
      <c r="G70" t="s">
        <v>27</v>
      </c>
      <c r="H70">
        <v>0</v>
      </c>
      <c r="I70" t="s">
        <v>296</v>
      </c>
      <c r="J70" t="str">
        <f>IF(Table3_1[[#This Row],[Discount_applied]]=0,"No Discount","Discount Applied")</f>
        <v>No Discount</v>
      </c>
    </row>
    <row r="71" spans="1:10" x14ac:dyDescent="0.3">
      <c r="A71" t="s">
        <v>365</v>
      </c>
      <c r="B71" s="1">
        <v>45797</v>
      </c>
      <c r="C71" t="s">
        <v>295</v>
      </c>
      <c r="D71">
        <v>1</v>
      </c>
      <c r="E71">
        <v>280</v>
      </c>
      <c r="F71" t="s">
        <v>14</v>
      </c>
      <c r="G71" t="s">
        <v>15</v>
      </c>
      <c r="H71">
        <v>10</v>
      </c>
      <c r="I71" t="s">
        <v>298</v>
      </c>
      <c r="J71" t="str">
        <f>IF(Table3_1[[#This Row],[Discount_applied]]=0,"No Discount","Discount Applied")</f>
        <v>Discount Applied</v>
      </c>
    </row>
    <row r="72" spans="1:10" x14ac:dyDescent="0.3">
      <c r="A72" t="s">
        <v>366</v>
      </c>
      <c r="B72" s="1">
        <v>45797</v>
      </c>
      <c r="C72" t="s">
        <v>266</v>
      </c>
      <c r="D72">
        <v>2</v>
      </c>
      <c r="E72">
        <v>500</v>
      </c>
      <c r="F72" t="s">
        <v>26</v>
      </c>
      <c r="G72" t="s">
        <v>27</v>
      </c>
      <c r="H72">
        <v>0</v>
      </c>
      <c r="I72" t="s">
        <v>300</v>
      </c>
      <c r="J72" t="str">
        <f>IF(Table3_1[[#This Row],[Discount_applied]]=0,"No Discount","Discount Applied")</f>
        <v>No Discount</v>
      </c>
    </row>
    <row r="73" spans="1:10" x14ac:dyDescent="0.3">
      <c r="A73" t="s">
        <v>367</v>
      </c>
      <c r="B73" s="1">
        <v>45798</v>
      </c>
      <c r="C73" t="s">
        <v>278</v>
      </c>
      <c r="D73">
        <v>1</v>
      </c>
      <c r="E73">
        <v>160</v>
      </c>
      <c r="F73" t="s">
        <v>14</v>
      </c>
      <c r="G73" t="s">
        <v>257</v>
      </c>
      <c r="H73">
        <v>15</v>
      </c>
      <c r="I73" t="s">
        <v>287</v>
      </c>
      <c r="J73" t="str">
        <f>IF(Table3_1[[#This Row],[Discount_applied]]=0,"No Discount","Discount Applied")</f>
        <v>Discount Applied</v>
      </c>
    </row>
    <row r="74" spans="1:10" x14ac:dyDescent="0.3">
      <c r="A74" t="s">
        <v>368</v>
      </c>
      <c r="B74" s="1">
        <v>45799</v>
      </c>
      <c r="C74" t="s">
        <v>302</v>
      </c>
      <c r="D74">
        <v>1</v>
      </c>
      <c r="E74">
        <v>380</v>
      </c>
      <c r="F74" t="s">
        <v>26</v>
      </c>
      <c r="G74" t="s">
        <v>15</v>
      </c>
      <c r="H74">
        <v>0</v>
      </c>
      <c r="I74" t="s">
        <v>290</v>
      </c>
      <c r="J74" t="str">
        <f>IF(Table3_1[[#This Row],[Discount_applied]]=0,"No Discount","Discount Applied")</f>
        <v>No Discount</v>
      </c>
    </row>
    <row r="75" spans="1:10" x14ac:dyDescent="0.3">
      <c r="A75" t="s">
        <v>369</v>
      </c>
      <c r="B75" s="1">
        <v>45799</v>
      </c>
      <c r="C75" t="s">
        <v>269</v>
      </c>
      <c r="D75">
        <v>2</v>
      </c>
      <c r="E75">
        <v>200</v>
      </c>
      <c r="F75" t="s">
        <v>14</v>
      </c>
      <c r="G75" t="s">
        <v>27</v>
      </c>
      <c r="H75">
        <v>0</v>
      </c>
      <c r="I75" t="s">
        <v>293</v>
      </c>
      <c r="J75" t="str">
        <f>IF(Table3_1[[#This Row],[Discount_applied]]=0,"No Discount","Discount Applied")</f>
        <v>No Discount</v>
      </c>
    </row>
    <row r="76" spans="1:10" x14ac:dyDescent="0.3">
      <c r="A76" t="s">
        <v>370</v>
      </c>
      <c r="B76" s="1">
        <v>45800</v>
      </c>
      <c r="C76" t="s">
        <v>305</v>
      </c>
      <c r="D76">
        <v>1</v>
      </c>
      <c r="E76">
        <v>140</v>
      </c>
      <c r="F76" t="s">
        <v>26</v>
      </c>
      <c r="G76" t="s">
        <v>27</v>
      </c>
      <c r="H76">
        <v>20</v>
      </c>
      <c r="I76" t="s">
        <v>296</v>
      </c>
      <c r="J76" t="str">
        <f>IF(Table3_1[[#This Row],[Discount_applied]]=0,"No Discount","Discount Applied")</f>
        <v>Discount Applied</v>
      </c>
    </row>
    <row r="77" spans="1:10" x14ac:dyDescent="0.3">
      <c r="A77" t="s">
        <v>371</v>
      </c>
      <c r="B77" s="1">
        <v>45801</v>
      </c>
      <c r="C77" t="s">
        <v>307</v>
      </c>
      <c r="D77">
        <v>4</v>
      </c>
      <c r="E77">
        <v>100</v>
      </c>
      <c r="F77" t="s">
        <v>14</v>
      </c>
      <c r="G77" t="s">
        <v>257</v>
      </c>
      <c r="H77">
        <v>0</v>
      </c>
      <c r="I77" t="s">
        <v>298</v>
      </c>
      <c r="J77" t="str">
        <f>IF(Table3_1[[#This Row],[Discount_applied]]=0,"No Discount","Discount Applied")</f>
        <v>No Discount</v>
      </c>
    </row>
    <row r="78" spans="1:10" x14ac:dyDescent="0.3">
      <c r="A78" t="s">
        <v>372</v>
      </c>
      <c r="B78" s="1">
        <v>45801</v>
      </c>
      <c r="C78" t="s">
        <v>309</v>
      </c>
      <c r="D78">
        <v>2</v>
      </c>
      <c r="E78">
        <v>320</v>
      </c>
      <c r="F78" t="s">
        <v>26</v>
      </c>
      <c r="G78" t="s">
        <v>15</v>
      </c>
      <c r="H78">
        <v>0</v>
      </c>
      <c r="I78" t="s">
        <v>287</v>
      </c>
      <c r="J78" t="str">
        <f>IF(Table3_1[[#This Row],[Discount_applied]]=0,"No Discount","Discount Applied")</f>
        <v>No Discount</v>
      </c>
    </row>
    <row r="79" spans="1:10" x14ac:dyDescent="0.3">
      <c r="A79" t="s">
        <v>373</v>
      </c>
      <c r="B79" s="1">
        <v>45802</v>
      </c>
      <c r="C79" t="s">
        <v>272</v>
      </c>
      <c r="D79">
        <v>1</v>
      </c>
      <c r="E79">
        <v>350</v>
      </c>
      <c r="F79" t="s">
        <v>14</v>
      </c>
      <c r="G79" t="s">
        <v>27</v>
      </c>
      <c r="H79">
        <v>25</v>
      </c>
      <c r="I79" t="s">
        <v>300</v>
      </c>
      <c r="J79" t="str">
        <f>IF(Table3_1[[#This Row],[Discount_applied]]=0,"No Discount","Discount Applied")</f>
        <v>Discount Applied</v>
      </c>
    </row>
    <row r="80" spans="1:10" x14ac:dyDescent="0.3">
      <c r="A80" t="s">
        <v>374</v>
      </c>
      <c r="B80" s="1">
        <v>45803</v>
      </c>
      <c r="C80" t="s">
        <v>312</v>
      </c>
      <c r="D80">
        <v>2</v>
      </c>
      <c r="E80">
        <v>240</v>
      </c>
      <c r="F80" t="s">
        <v>26</v>
      </c>
      <c r="G80" t="s">
        <v>27</v>
      </c>
      <c r="H80">
        <v>0</v>
      </c>
      <c r="I80" t="s">
        <v>290</v>
      </c>
      <c r="J80" t="str">
        <f>IF(Table3_1[[#This Row],[Discount_applied]]=0,"No Discount","Discount Applied")</f>
        <v>No Discount</v>
      </c>
    </row>
    <row r="81" spans="1:10" x14ac:dyDescent="0.3">
      <c r="A81" t="s">
        <v>375</v>
      </c>
      <c r="B81" s="1">
        <v>45803</v>
      </c>
      <c r="C81" t="s">
        <v>314</v>
      </c>
      <c r="D81">
        <v>1</v>
      </c>
      <c r="E81">
        <v>300</v>
      </c>
      <c r="F81" t="s">
        <v>14</v>
      </c>
      <c r="G81" t="s">
        <v>15</v>
      </c>
      <c r="H81">
        <v>0</v>
      </c>
      <c r="I81" t="s">
        <v>293</v>
      </c>
      <c r="J81" t="str">
        <f>IF(Table3_1[[#This Row],[Discount_applied]]=0,"No Discount","Discount Applied")</f>
        <v>No Discount</v>
      </c>
    </row>
    <row r="82" spans="1:10" x14ac:dyDescent="0.3">
      <c r="A82" t="s">
        <v>376</v>
      </c>
      <c r="B82" s="1">
        <v>45804</v>
      </c>
      <c r="C82" t="s">
        <v>256</v>
      </c>
      <c r="D82">
        <v>3</v>
      </c>
      <c r="E82">
        <v>150</v>
      </c>
      <c r="F82" t="s">
        <v>26</v>
      </c>
      <c r="G82" t="s">
        <v>27</v>
      </c>
      <c r="H82">
        <v>10</v>
      </c>
      <c r="I82" t="s">
        <v>296</v>
      </c>
      <c r="J82" t="str">
        <f>IF(Table3_1[[#This Row],[Discount_applied]]=0,"No Discount","Discount Applied")</f>
        <v>Discount Applied</v>
      </c>
    </row>
    <row r="83" spans="1:10" x14ac:dyDescent="0.3">
      <c r="A83" t="s">
        <v>377</v>
      </c>
      <c r="B83" s="1">
        <v>45805</v>
      </c>
      <c r="C83" t="s">
        <v>251</v>
      </c>
      <c r="D83">
        <v>2</v>
      </c>
      <c r="E83">
        <v>400</v>
      </c>
      <c r="F83" t="s">
        <v>14</v>
      </c>
      <c r="G83" t="s">
        <v>257</v>
      </c>
      <c r="H83">
        <v>0</v>
      </c>
      <c r="I83" t="s">
        <v>298</v>
      </c>
      <c r="J83" t="str">
        <f>IF(Table3_1[[#This Row],[Discount_applied]]=0,"No Discount","Discount Applied")</f>
        <v>No Discount</v>
      </c>
    </row>
    <row r="84" spans="1:10" x14ac:dyDescent="0.3">
      <c r="A84" t="s">
        <v>378</v>
      </c>
      <c r="B84" s="1">
        <v>45805</v>
      </c>
      <c r="C84" t="s">
        <v>318</v>
      </c>
      <c r="D84">
        <v>1</v>
      </c>
      <c r="E84">
        <v>250</v>
      </c>
      <c r="F84" t="s">
        <v>26</v>
      </c>
      <c r="G84" t="s">
        <v>15</v>
      </c>
      <c r="H84">
        <v>0</v>
      </c>
      <c r="I84" t="s">
        <v>287</v>
      </c>
      <c r="J84" t="str">
        <f>IF(Table3_1[[#This Row],[Discount_applied]]=0,"No Discount","Discount Applied")</f>
        <v>No Discount</v>
      </c>
    </row>
    <row r="85" spans="1:10" x14ac:dyDescent="0.3">
      <c r="A85" t="s">
        <v>379</v>
      </c>
      <c r="B85" s="1">
        <v>45806</v>
      </c>
      <c r="C85" t="s">
        <v>280</v>
      </c>
      <c r="D85">
        <v>1</v>
      </c>
      <c r="E85">
        <v>150</v>
      </c>
      <c r="F85" t="s">
        <v>14</v>
      </c>
      <c r="G85" t="s">
        <v>27</v>
      </c>
      <c r="H85">
        <v>15</v>
      </c>
      <c r="I85" t="s">
        <v>300</v>
      </c>
      <c r="J85" t="str">
        <f>IF(Table3_1[[#This Row],[Discount_applied]]=0,"No Discount","Discount Applied")</f>
        <v>Discount Applied</v>
      </c>
    </row>
    <row r="86" spans="1:10" x14ac:dyDescent="0.3">
      <c r="A86" t="s">
        <v>380</v>
      </c>
      <c r="B86" s="1">
        <v>45807</v>
      </c>
      <c r="C86" t="s">
        <v>244</v>
      </c>
      <c r="D86">
        <v>2</v>
      </c>
      <c r="E86">
        <v>300</v>
      </c>
      <c r="F86" t="s">
        <v>26</v>
      </c>
      <c r="G86" t="s">
        <v>27</v>
      </c>
      <c r="H86">
        <v>0</v>
      </c>
      <c r="I86" t="s">
        <v>290</v>
      </c>
      <c r="J86" t="str">
        <f>IF(Table3_1[[#This Row],[Discount_applied]]=0,"No Discount","Discount Applied")</f>
        <v>No Discount</v>
      </c>
    </row>
    <row r="87" spans="1:10" x14ac:dyDescent="0.3">
      <c r="A87" t="s">
        <v>381</v>
      </c>
      <c r="B87" s="1">
        <v>45807</v>
      </c>
      <c r="C87" t="s">
        <v>322</v>
      </c>
      <c r="D87">
        <v>3</v>
      </c>
      <c r="E87">
        <v>180</v>
      </c>
      <c r="F87" t="s">
        <v>14</v>
      </c>
      <c r="G87" t="s">
        <v>15</v>
      </c>
      <c r="H87">
        <v>0</v>
      </c>
      <c r="I87" t="s">
        <v>293</v>
      </c>
      <c r="J87" t="str">
        <f>IF(Table3_1[[#This Row],[Discount_applied]]=0,"No Discount","Discount Applied")</f>
        <v>No Discount</v>
      </c>
    </row>
    <row r="88" spans="1:10" x14ac:dyDescent="0.3">
      <c r="A88" t="s">
        <v>382</v>
      </c>
      <c r="B88" s="1">
        <v>45808</v>
      </c>
      <c r="C88" t="s">
        <v>324</v>
      </c>
      <c r="D88">
        <v>2</v>
      </c>
      <c r="E88">
        <v>90</v>
      </c>
      <c r="F88" t="s">
        <v>26</v>
      </c>
      <c r="G88" t="s">
        <v>27</v>
      </c>
      <c r="H88">
        <v>20</v>
      </c>
      <c r="I88" t="s">
        <v>296</v>
      </c>
      <c r="J88" t="str">
        <f>IF(Table3_1[[#This Row],[Discount_applied]]=0,"No Discount","Discount Applied")</f>
        <v>Discount Applied</v>
      </c>
    </row>
    <row r="89" spans="1:10" x14ac:dyDescent="0.3">
      <c r="A89" t="s">
        <v>383</v>
      </c>
      <c r="B89" s="1">
        <v>45809</v>
      </c>
      <c r="C89" t="s">
        <v>326</v>
      </c>
      <c r="D89">
        <v>1</v>
      </c>
      <c r="E89">
        <v>320</v>
      </c>
      <c r="F89" t="s">
        <v>14</v>
      </c>
      <c r="G89" t="s">
        <v>257</v>
      </c>
      <c r="H89">
        <v>0</v>
      </c>
      <c r="I89" t="s">
        <v>298</v>
      </c>
      <c r="J89" t="str">
        <f>IF(Table3_1[[#This Row],[Discount_applied]]=0,"No Discount","Discount Applied")</f>
        <v>No Discount</v>
      </c>
    </row>
    <row r="90" spans="1:10" x14ac:dyDescent="0.3">
      <c r="A90" t="s">
        <v>384</v>
      </c>
      <c r="B90" s="1">
        <v>45809</v>
      </c>
      <c r="C90" t="s">
        <v>328</v>
      </c>
      <c r="D90">
        <v>3</v>
      </c>
      <c r="E90">
        <v>120</v>
      </c>
      <c r="F90" t="s">
        <v>26</v>
      </c>
      <c r="G90" t="s">
        <v>27</v>
      </c>
      <c r="H90">
        <v>0</v>
      </c>
      <c r="I90" t="s">
        <v>287</v>
      </c>
      <c r="J90" t="str">
        <f>IF(Table3_1[[#This Row],[Discount_applied]]=0,"No Discount","Discount Applied")</f>
        <v>No Discount</v>
      </c>
    </row>
    <row r="91" spans="1:10" x14ac:dyDescent="0.3">
      <c r="A91" t="s">
        <v>385</v>
      </c>
      <c r="B91" s="1">
        <v>45810</v>
      </c>
      <c r="C91" t="s">
        <v>283</v>
      </c>
      <c r="D91">
        <v>1</v>
      </c>
      <c r="E91">
        <v>450</v>
      </c>
      <c r="F91" t="s">
        <v>14</v>
      </c>
      <c r="G91" t="s">
        <v>15</v>
      </c>
      <c r="H91">
        <v>10</v>
      </c>
      <c r="I91" t="s">
        <v>300</v>
      </c>
      <c r="J91" t="str">
        <f>IF(Table3_1[[#This Row],[Discount_applied]]=0,"No Discount","Discount Applied")</f>
        <v>Discount Applied</v>
      </c>
    </row>
    <row r="92" spans="1:10" x14ac:dyDescent="0.3">
      <c r="A92" t="s">
        <v>386</v>
      </c>
      <c r="B92" s="1">
        <v>45811</v>
      </c>
      <c r="C92" t="s">
        <v>331</v>
      </c>
      <c r="D92">
        <v>2</v>
      </c>
      <c r="E92">
        <v>260</v>
      </c>
      <c r="F92" t="s">
        <v>26</v>
      </c>
      <c r="G92" t="s">
        <v>15</v>
      </c>
      <c r="H92">
        <v>0</v>
      </c>
      <c r="I92" t="s">
        <v>290</v>
      </c>
      <c r="J92" t="str">
        <f>IF(Table3_1[[#This Row],[Discount_applied]]=0,"No Discount","Discount Applied")</f>
        <v>No Discount</v>
      </c>
    </row>
    <row r="93" spans="1:10" x14ac:dyDescent="0.3">
      <c r="A93" t="s">
        <v>387</v>
      </c>
      <c r="B93" s="1">
        <v>45811</v>
      </c>
      <c r="C93" t="s">
        <v>333</v>
      </c>
      <c r="D93">
        <v>3</v>
      </c>
      <c r="E93">
        <v>300</v>
      </c>
      <c r="F93" t="s">
        <v>14</v>
      </c>
      <c r="G93" t="s">
        <v>257</v>
      </c>
      <c r="H93">
        <v>0</v>
      </c>
      <c r="I93" t="s">
        <v>293</v>
      </c>
      <c r="J93" t="str">
        <f>IF(Table3_1[[#This Row],[Discount_applied]]=0,"No Discount","Discount Applied")</f>
        <v>No Discount</v>
      </c>
    </row>
    <row r="94" spans="1:10" x14ac:dyDescent="0.3">
      <c r="A94" t="s">
        <v>388</v>
      </c>
      <c r="B94" s="1">
        <v>45812</v>
      </c>
      <c r="C94" t="s">
        <v>335</v>
      </c>
      <c r="D94">
        <v>1</v>
      </c>
      <c r="E94">
        <v>200</v>
      </c>
      <c r="F94" t="s">
        <v>26</v>
      </c>
      <c r="G94" t="s">
        <v>27</v>
      </c>
      <c r="H94">
        <v>25</v>
      </c>
      <c r="I94" t="s">
        <v>296</v>
      </c>
      <c r="J94" t="str">
        <f>IF(Table3_1[[#This Row],[Discount_applied]]=0,"No Discount","Discount Applied")</f>
        <v>Discount Applied</v>
      </c>
    </row>
    <row r="95" spans="1:10" x14ac:dyDescent="0.3">
      <c r="A95" t="s">
        <v>389</v>
      </c>
      <c r="B95" s="1">
        <v>45813</v>
      </c>
      <c r="C95" t="s">
        <v>337</v>
      </c>
      <c r="D95">
        <v>2</v>
      </c>
      <c r="E95">
        <v>240</v>
      </c>
      <c r="F95" t="s">
        <v>14</v>
      </c>
      <c r="G95" t="s">
        <v>27</v>
      </c>
      <c r="H95">
        <v>0</v>
      </c>
      <c r="I95" t="s">
        <v>298</v>
      </c>
      <c r="J95" t="str">
        <f>IF(Table3_1[[#This Row],[Discount_applied]]=0,"No Discount","Discount Applied")</f>
        <v>No Discount</v>
      </c>
    </row>
    <row r="96" spans="1:10" x14ac:dyDescent="0.3">
      <c r="A96" t="s">
        <v>390</v>
      </c>
      <c r="B96" s="1">
        <v>45813</v>
      </c>
      <c r="C96" t="s">
        <v>339</v>
      </c>
      <c r="D96">
        <v>1</v>
      </c>
      <c r="E96">
        <v>320</v>
      </c>
      <c r="F96" t="s">
        <v>26</v>
      </c>
      <c r="G96" t="s">
        <v>15</v>
      </c>
      <c r="H96">
        <v>0</v>
      </c>
      <c r="I96" t="s">
        <v>287</v>
      </c>
      <c r="J96" t="str">
        <f>IF(Table3_1[[#This Row],[Discount_applied]]=0,"No Discount","Discount Applied")</f>
        <v>No Discount</v>
      </c>
    </row>
    <row r="97" spans="1:10" x14ac:dyDescent="0.3">
      <c r="A97" t="s">
        <v>391</v>
      </c>
      <c r="B97" s="1">
        <v>45814</v>
      </c>
      <c r="C97" t="s">
        <v>256</v>
      </c>
      <c r="D97">
        <v>4</v>
      </c>
      <c r="E97">
        <v>200</v>
      </c>
      <c r="F97" t="s">
        <v>14</v>
      </c>
      <c r="G97" t="s">
        <v>27</v>
      </c>
      <c r="H97">
        <v>0</v>
      </c>
      <c r="I97" t="s">
        <v>300</v>
      </c>
      <c r="J97" t="str">
        <f>IF(Table3_1[[#This Row],[Discount_applied]]=0,"No Discount","Discount Applied")</f>
        <v>No Discount</v>
      </c>
    </row>
    <row r="98" spans="1:10" x14ac:dyDescent="0.3">
      <c r="A98" t="s">
        <v>392</v>
      </c>
      <c r="B98" s="1">
        <v>45815</v>
      </c>
      <c r="C98" t="s">
        <v>260</v>
      </c>
      <c r="D98">
        <v>1</v>
      </c>
      <c r="E98">
        <v>250</v>
      </c>
      <c r="F98" t="s">
        <v>26</v>
      </c>
      <c r="G98" t="s">
        <v>257</v>
      </c>
      <c r="H98">
        <v>15</v>
      </c>
      <c r="I98" t="s">
        <v>290</v>
      </c>
      <c r="J98" t="str">
        <f>IF(Table3_1[[#This Row],[Discount_applied]]=0,"No Discount","Discount Applied")</f>
        <v>Discount Applied</v>
      </c>
    </row>
    <row r="99" spans="1:10" x14ac:dyDescent="0.3">
      <c r="A99" t="s">
        <v>393</v>
      </c>
      <c r="B99" s="1">
        <v>45815</v>
      </c>
      <c r="C99" t="s">
        <v>263</v>
      </c>
      <c r="D99">
        <v>2</v>
      </c>
      <c r="E99">
        <v>180</v>
      </c>
      <c r="F99" t="s">
        <v>14</v>
      </c>
      <c r="G99" t="s">
        <v>27</v>
      </c>
      <c r="H99">
        <v>0</v>
      </c>
      <c r="I99" t="s">
        <v>293</v>
      </c>
      <c r="J99" t="str">
        <f>IF(Table3_1[[#This Row],[Discount_applied]]=0,"No Discount","Discount Applied")</f>
        <v>No Discount</v>
      </c>
    </row>
    <row r="100" spans="1:10" x14ac:dyDescent="0.3">
      <c r="A100" t="s">
        <v>394</v>
      </c>
      <c r="B100" s="1">
        <v>45816</v>
      </c>
      <c r="C100" t="s">
        <v>251</v>
      </c>
      <c r="D100">
        <v>1</v>
      </c>
      <c r="E100">
        <v>200</v>
      </c>
      <c r="F100" t="s">
        <v>26</v>
      </c>
      <c r="G100" t="s">
        <v>15</v>
      </c>
      <c r="H100">
        <v>0</v>
      </c>
      <c r="I100" t="s">
        <v>296</v>
      </c>
      <c r="J100" t="str">
        <f>IF(Table3_1[[#This Row],[Discount_applied]]=0,"No Discount","Discount Applied")</f>
        <v>No Discount</v>
      </c>
    </row>
    <row r="101" spans="1:10" x14ac:dyDescent="0.3">
      <c r="A101" t="s">
        <v>395</v>
      </c>
      <c r="B101" s="1">
        <v>45817</v>
      </c>
      <c r="C101" t="s">
        <v>266</v>
      </c>
      <c r="D101">
        <v>2</v>
      </c>
      <c r="E101">
        <v>500</v>
      </c>
      <c r="F101" t="s">
        <v>14</v>
      </c>
      <c r="G101" t="s">
        <v>27</v>
      </c>
      <c r="H101">
        <v>30</v>
      </c>
      <c r="I101" t="s">
        <v>298</v>
      </c>
      <c r="J101" t="str">
        <f>IF(Table3_1[[#This Row],[Discount_applied]]=0,"No Discount","Discount Applied")</f>
        <v>Discount Applied</v>
      </c>
    </row>
    <row r="102" spans="1:10" x14ac:dyDescent="0.3">
      <c r="A102" t="s">
        <v>396</v>
      </c>
      <c r="B102" s="1">
        <v>45817</v>
      </c>
      <c r="C102" t="s">
        <v>269</v>
      </c>
      <c r="D102">
        <v>1</v>
      </c>
      <c r="E102">
        <v>180</v>
      </c>
      <c r="F102" t="s">
        <v>26</v>
      </c>
      <c r="G102" t="s">
        <v>27</v>
      </c>
      <c r="H102">
        <v>0</v>
      </c>
      <c r="I102" t="s">
        <v>287</v>
      </c>
      <c r="J102" t="str">
        <f>IF(Table3_1[[#This Row],[Discount_applied]]=0,"No Discount","Discount Applied")</f>
        <v>No Discount</v>
      </c>
    </row>
    <row r="103" spans="1:10" x14ac:dyDescent="0.3">
      <c r="A103" t="s">
        <v>397</v>
      </c>
      <c r="B103" s="1">
        <v>45818</v>
      </c>
      <c r="C103" t="s">
        <v>244</v>
      </c>
      <c r="D103">
        <v>3</v>
      </c>
      <c r="E103">
        <v>450</v>
      </c>
      <c r="F103" t="s">
        <v>14</v>
      </c>
      <c r="G103" t="s">
        <v>257</v>
      </c>
      <c r="H103">
        <v>0</v>
      </c>
      <c r="I103" t="s">
        <v>300</v>
      </c>
      <c r="J103" t="str">
        <f>IF(Table3_1[[#This Row],[Discount_applied]]=0,"No Discount","Discount Applied")</f>
        <v>No Discount</v>
      </c>
    </row>
    <row r="104" spans="1:10" x14ac:dyDescent="0.3">
      <c r="A104" t="s">
        <v>398</v>
      </c>
      <c r="B104" s="1">
        <v>45818</v>
      </c>
      <c r="C104" t="s">
        <v>272</v>
      </c>
      <c r="D104">
        <v>1</v>
      </c>
      <c r="E104">
        <v>300</v>
      </c>
      <c r="F104" t="s">
        <v>26</v>
      </c>
      <c r="G104" t="s">
        <v>15</v>
      </c>
      <c r="H104">
        <v>10</v>
      </c>
      <c r="I104" t="s">
        <v>290</v>
      </c>
      <c r="J104" t="str">
        <f>IF(Table3_1[[#This Row],[Discount_applied]]=0,"No Discount","Discount Applied")</f>
        <v>Discount Applied</v>
      </c>
    </row>
    <row r="105" spans="1:10" x14ac:dyDescent="0.3">
      <c r="A105" t="s">
        <v>399</v>
      </c>
      <c r="B105" s="1">
        <v>45819</v>
      </c>
      <c r="C105" t="s">
        <v>274</v>
      </c>
      <c r="D105">
        <v>2</v>
      </c>
      <c r="E105">
        <v>260</v>
      </c>
      <c r="F105" t="s">
        <v>14</v>
      </c>
      <c r="G105" t="s">
        <v>15</v>
      </c>
      <c r="H105">
        <v>0</v>
      </c>
      <c r="I105" t="s">
        <v>293</v>
      </c>
      <c r="J105" t="str">
        <f>IF(Table3_1[[#This Row],[Discount_applied]]=0,"No Discount","Discount Applied")</f>
        <v>No Discount</v>
      </c>
    </row>
    <row r="106" spans="1:10" x14ac:dyDescent="0.3">
      <c r="A106" t="s">
        <v>400</v>
      </c>
      <c r="B106" s="1">
        <v>45820</v>
      </c>
      <c r="C106" t="s">
        <v>276</v>
      </c>
      <c r="D106">
        <v>1</v>
      </c>
      <c r="E106">
        <v>350</v>
      </c>
      <c r="F106" t="s">
        <v>26</v>
      </c>
      <c r="G106" t="s">
        <v>27</v>
      </c>
      <c r="H106">
        <v>0</v>
      </c>
      <c r="I106" t="s">
        <v>296</v>
      </c>
      <c r="J106" t="str">
        <f>IF(Table3_1[[#This Row],[Discount_applied]]=0,"No Discount","Discount Applied")</f>
        <v>No Discount</v>
      </c>
    </row>
    <row r="107" spans="1:10" x14ac:dyDescent="0.3">
      <c r="A107" t="s">
        <v>401</v>
      </c>
      <c r="B107" s="1">
        <v>45820</v>
      </c>
      <c r="C107" t="s">
        <v>278</v>
      </c>
      <c r="D107">
        <v>3</v>
      </c>
      <c r="E107">
        <v>420</v>
      </c>
      <c r="F107" t="s">
        <v>14</v>
      </c>
      <c r="G107" t="s">
        <v>257</v>
      </c>
      <c r="H107">
        <v>20</v>
      </c>
      <c r="I107" t="s">
        <v>298</v>
      </c>
      <c r="J107" t="str">
        <f>IF(Table3_1[[#This Row],[Discount_applied]]=0,"No Discount","Discount Applied")</f>
        <v>Discount Applied</v>
      </c>
    </row>
    <row r="108" spans="1:10" x14ac:dyDescent="0.3">
      <c r="A108" t="s">
        <v>402</v>
      </c>
      <c r="B108" s="1">
        <v>45821</v>
      </c>
      <c r="C108" t="s">
        <v>286</v>
      </c>
      <c r="D108">
        <v>2</v>
      </c>
      <c r="E108">
        <v>500</v>
      </c>
      <c r="F108" t="s">
        <v>26</v>
      </c>
      <c r="G108" t="s">
        <v>15</v>
      </c>
      <c r="H108">
        <v>0</v>
      </c>
      <c r="I108" t="s">
        <v>287</v>
      </c>
      <c r="J108" t="str">
        <f>IF(Table3_1[[#This Row],[Discount_applied]]=0,"No Discount","Discount Applied")</f>
        <v>No Discount</v>
      </c>
    </row>
    <row r="109" spans="1:10" x14ac:dyDescent="0.3">
      <c r="A109" t="s">
        <v>403</v>
      </c>
      <c r="B109" s="1">
        <v>45822</v>
      </c>
      <c r="C109" t="s">
        <v>289</v>
      </c>
      <c r="D109">
        <v>1</v>
      </c>
      <c r="E109">
        <v>220</v>
      </c>
      <c r="F109" t="s">
        <v>14</v>
      </c>
      <c r="G109" t="s">
        <v>27</v>
      </c>
      <c r="H109">
        <v>0</v>
      </c>
      <c r="I109" t="s">
        <v>300</v>
      </c>
      <c r="J109" t="str">
        <f>IF(Table3_1[[#This Row],[Discount_applied]]=0,"No Discount","Discount Applied")</f>
        <v>No Discount</v>
      </c>
    </row>
    <row r="110" spans="1:10" x14ac:dyDescent="0.3">
      <c r="A110" t="s">
        <v>404</v>
      </c>
      <c r="B110" s="1">
        <v>45822</v>
      </c>
      <c r="C110" t="s">
        <v>292</v>
      </c>
      <c r="D110">
        <v>3</v>
      </c>
      <c r="E110">
        <v>180</v>
      </c>
      <c r="F110" t="s">
        <v>26</v>
      </c>
      <c r="G110" t="s">
        <v>257</v>
      </c>
      <c r="H110">
        <v>15</v>
      </c>
      <c r="I110" t="s">
        <v>290</v>
      </c>
      <c r="J110" t="str">
        <f>IF(Table3_1[[#This Row],[Discount_applied]]=0,"No Discount","Discount Applied")</f>
        <v>Discount Applied</v>
      </c>
    </row>
    <row r="111" spans="1:10" x14ac:dyDescent="0.3">
      <c r="A111" t="s">
        <v>405</v>
      </c>
      <c r="B111" s="1">
        <v>45823</v>
      </c>
      <c r="C111" t="s">
        <v>295</v>
      </c>
      <c r="D111">
        <v>1</v>
      </c>
      <c r="E111">
        <v>280</v>
      </c>
      <c r="F111" t="s">
        <v>14</v>
      </c>
      <c r="G111" t="s">
        <v>15</v>
      </c>
      <c r="H111">
        <v>0</v>
      </c>
      <c r="I111" t="s">
        <v>293</v>
      </c>
      <c r="J111" t="str">
        <f>IF(Table3_1[[#This Row],[Discount_applied]]=0,"No Discount","Discount Applied")</f>
        <v>No Discount</v>
      </c>
    </row>
    <row r="112" spans="1:10" x14ac:dyDescent="0.3">
      <c r="A112" t="s">
        <v>406</v>
      </c>
      <c r="B112" s="1">
        <v>45824</v>
      </c>
      <c r="C112" t="s">
        <v>266</v>
      </c>
      <c r="D112">
        <v>2</v>
      </c>
      <c r="E112">
        <v>500</v>
      </c>
      <c r="F112" t="s">
        <v>26</v>
      </c>
      <c r="G112" t="s">
        <v>27</v>
      </c>
      <c r="H112">
        <v>0</v>
      </c>
      <c r="I112" t="s">
        <v>296</v>
      </c>
      <c r="J112" t="str">
        <f>IF(Table3_1[[#This Row],[Discount_applied]]=0,"No Discount","Discount Applied")</f>
        <v>No Discount</v>
      </c>
    </row>
    <row r="113" spans="1:10" x14ac:dyDescent="0.3">
      <c r="A113" t="s">
        <v>407</v>
      </c>
      <c r="B113" s="1">
        <v>45824</v>
      </c>
      <c r="C113" t="s">
        <v>278</v>
      </c>
      <c r="D113">
        <v>1</v>
      </c>
      <c r="E113">
        <v>160</v>
      </c>
      <c r="F113" t="s">
        <v>14</v>
      </c>
      <c r="G113" t="s">
        <v>257</v>
      </c>
      <c r="H113">
        <v>0</v>
      </c>
      <c r="I113" t="s">
        <v>298</v>
      </c>
      <c r="J113" t="str">
        <f>IF(Table3_1[[#This Row],[Discount_applied]]=0,"No Discount","Discount Applied")</f>
        <v>No Discount</v>
      </c>
    </row>
    <row r="114" spans="1:10" x14ac:dyDescent="0.3">
      <c r="A114" t="s">
        <v>408</v>
      </c>
      <c r="B114" s="1">
        <v>45825</v>
      </c>
      <c r="C114" t="s">
        <v>302</v>
      </c>
      <c r="D114">
        <v>1</v>
      </c>
      <c r="E114">
        <v>380</v>
      </c>
      <c r="F114" t="s">
        <v>26</v>
      </c>
      <c r="G114" t="s">
        <v>27</v>
      </c>
      <c r="H114">
        <v>10</v>
      </c>
      <c r="I114" t="s">
        <v>287</v>
      </c>
      <c r="J114" t="str">
        <f>IF(Table3_1[[#This Row],[Discount_applied]]=0,"No Discount","Discount Applied")</f>
        <v>Discount Applied</v>
      </c>
    </row>
    <row r="115" spans="1:10" x14ac:dyDescent="0.3">
      <c r="A115" t="s">
        <v>409</v>
      </c>
      <c r="B115" s="1">
        <v>45826</v>
      </c>
      <c r="C115" t="s">
        <v>269</v>
      </c>
      <c r="D115">
        <v>2</v>
      </c>
      <c r="E115">
        <v>200</v>
      </c>
      <c r="F115" t="s">
        <v>14</v>
      </c>
      <c r="G115" t="s">
        <v>15</v>
      </c>
      <c r="H115">
        <v>0</v>
      </c>
      <c r="I115" t="s">
        <v>300</v>
      </c>
      <c r="J115" t="str">
        <f>IF(Table3_1[[#This Row],[Discount_applied]]=0,"No Discount","Discount Applied")</f>
        <v>No Discount</v>
      </c>
    </row>
    <row r="116" spans="1:10" x14ac:dyDescent="0.3">
      <c r="A116" t="s">
        <v>410</v>
      </c>
      <c r="B116" s="1">
        <v>45826</v>
      </c>
      <c r="C116" t="s">
        <v>305</v>
      </c>
      <c r="D116">
        <v>1</v>
      </c>
      <c r="E116">
        <v>140</v>
      </c>
      <c r="F116" t="s">
        <v>26</v>
      </c>
      <c r="G116" t="s">
        <v>27</v>
      </c>
      <c r="H116">
        <v>0</v>
      </c>
      <c r="I116" t="s">
        <v>290</v>
      </c>
      <c r="J116" t="str">
        <f>IF(Table3_1[[#This Row],[Discount_applied]]=0,"No Discount","Discount Applied")</f>
        <v>No Discount</v>
      </c>
    </row>
    <row r="117" spans="1:10" x14ac:dyDescent="0.3">
      <c r="A117" t="s">
        <v>411</v>
      </c>
      <c r="B117" s="1">
        <v>45761</v>
      </c>
      <c r="C117" t="s">
        <v>280</v>
      </c>
      <c r="D117">
        <v>2</v>
      </c>
      <c r="E117">
        <v>240</v>
      </c>
      <c r="F117" t="s">
        <v>26</v>
      </c>
      <c r="G117" t="s">
        <v>15</v>
      </c>
      <c r="H117">
        <v>0</v>
      </c>
      <c r="I117" t="s">
        <v>281</v>
      </c>
      <c r="J117" t="str">
        <f>IF(Table3_1[[#This Row],[Discount_applied]]=0,"No Discount","Discount Applied")</f>
        <v>No Discount</v>
      </c>
    </row>
    <row r="118" spans="1:10" x14ac:dyDescent="0.3">
      <c r="A118" t="s">
        <v>411</v>
      </c>
      <c r="B118" s="1">
        <v>45761</v>
      </c>
      <c r="C118" t="s">
        <v>283</v>
      </c>
      <c r="D118">
        <v>1</v>
      </c>
      <c r="E118">
        <v>450</v>
      </c>
      <c r="F118" t="s">
        <v>14</v>
      </c>
      <c r="G118" t="s">
        <v>27</v>
      </c>
      <c r="H118">
        <v>30</v>
      </c>
      <c r="I118" t="s">
        <v>284</v>
      </c>
      <c r="J118" t="str">
        <f>IF(Table3_1[[#This Row],[Discount_applied]]=0,"No Discount","Discount Applied")</f>
        <v>Discount Applied</v>
      </c>
    </row>
    <row r="119" spans="1:10" x14ac:dyDescent="0.3">
      <c r="A119" t="s">
        <v>411</v>
      </c>
      <c r="B119" s="1">
        <v>45761</v>
      </c>
      <c r="C119" t="s">
        <v>286</v>
      </c>
      <c r="D119">
        <v>2</v>
      </c>
      <c r="E119">
        <v>500</v>
      </c>
      <c r="F119" t="s">
        <v>26</v>
      </c>
      <c r="G119" t="s">
        <v>15</v>
      </c>
      <c r="H119">
        <v>0</v>
      </c>
      <c r="I119" t="s">
        <v>287</v>
      </c>
      <c r="J119" t="str">
        <f>IF(Table3_1[[#This Row],[Discount_applied]]=0,"No Discount","Discount Applied")</f>
        <v>No Discount</v>
      </c>
    </row>
    <row r="120" spans="1:10" x14ac:dyDescent="0.3">
      <c r="A120" t="s">
        <v>411</v>
      </c>
      <c r="B120" s="1">
        <v>45761</v>
      </c>
      <c r="C120" t="s">
        <v>289</v>
      </c>
      <c r="D120">
        <v>1</v>
      </c>
      <c r="E120">
        <v>220</v>
      </c>
      <c r="F120" t="s">
        <v>14</v>
      </c>
      <c r="G120" t="s">
        <v>27</v>
      </c>
      <c r="H120">
        <v>20</v>
      </c>
      <c r="I120" t="s">
        <v>290</v>
      </c>
      <c r="J120" t="str">
        <f>IF(Table3_1[[#This Row],[Discount_applied]]=0,"No Discount","Discount Applied")</f>
        <v>Discount Applied</v>
      </c>
    </row>
    <row r="121" spans="1:10" x14ac:dyDescent="0.3">
      <c r="A121" t="s">
        <v>411</v>
      </c>
      <c r="B121" s="1">
        <v>45761</v>
      </c>
      <c r="C121" t="s">
        <v>292</v>
      </c>
      <c r="D121">
        <v>3</v>
      </c>
      <c r="E121">
        <v>180</v>
      </c>
      <c r="F121" t="s">
        <v>26</v>
      </c>
      <c r="G121" t="s">
        <v>257</v>
      </c>
      <c r="H121">
        <v>0</v>
      </c>
      <c r="I121" t="s">
        <v>293</v>
      </c>
      <c r="J121" t="str">
        <f>IF(Table3_1[[#This Row],[Discount_applied]]=0,"No Discount","Discount Applied")</f>
        <v>No Discount</v>
      </c>
    </row>
    <row r="122" spans="1:10" x14ac:dyDescent="0.3">
      <c r="A122" t="s">
        <v>411</v>
      </c>
      <c r="B122" s="1">
        <v>45761</v>
      </c>
      <c r="C122" t="s">
        <v>295</v>
      </c>
      <c r="D122">
        <v>1</v>
      </c>
      <c r="E122">
        <v>280</v>
      </c>
      <c r="F122" t="s">
        <v>14</v>
      </c>
      <c r="G122" t="s">
        <v>27</v>
      </c>
      <c r="H122">
        <v>0</v>
      </c>
      <c r="I122" t="s">
        <v>296</v>
      </c>
      <c r="J122" t="str">
        <f>IF(Table3_1[[#This Row],[Discount_applied]]=0,"No Discount","Discount Applied")</f>
        <v>No Discount</v>
      </c>
    </row>
    <row r="123" spans="1:10" x14ac:dyDescent="0.3">
      <c r="A123" t="s">
        <v>411</v>
      </c>
      <c r="B123" s="1">
        <v>45761</v>
      </c>
      <c r="C123" t="s">
        <v>266</v>
      </c>
      <c r="D123">
        <v>2</v>
      </c>
      <c r="E123">
        <v>500</v>
      </c>
      <c r="F123" t="s">
        <v>26</v>
      </c>
      <c r="G123" t="s">
        <v>15</v>
      </c>
      <c r="H123">
        <v>10</v>
      </c>
      <c r="I123" t="s">
        <v>298</v>
      </c>
      <c r="J123" t="str">
        <f>IF(Table3_1[[#This Row],[Discount_applied]]=0,"No Discount","Discount Applied")</f>
        <v>Discount Applied</v>
      </c>
    </row>
    <row r="124" spans="1:10" x14ac:dyDescent="0.3">
      <c r="A124" t="s">
        <v>411</v>
      </c>
      <c r="B124" s="1">
        <v>45761</v>
      </c>
      <c r="C124" t="s">
        <v>278</v>
      </c>
      <c r="D124">
        <v>1</v>
      </c>
      <c r="E124">
        <v>160</v>
      </c>
      <c r="F124" t="s">
        <v>14</v>
      </c>
      <c r="G124" t="s">
        <v>257</v>
      </c>
      <c r="H124">
        <v>0</v>
      </c>
      <c r="I124" t="s">
        <v>300</v>
      </c>
      <c r="J124" t="str">
        <f>IF(Table3_1[[#This Row],[Discount_applied]]=0,"No Discount","Discount Applied")</f>
        <v>No Discount</v>
      </c>
    </row>
    <row r="125" spans="1:10" x14ac:dyDescent="0.3">
      <c r="A125" t="s">
        <v>411</v>
      </c>
      <c r="B125" s="1">
        <v>45761</v>
      </c>
      <c r="C125" t="s">
        <v>302</v>
      </c>
      <c r="D125">
        <v>1</v>
      </c>
      <c r="E125">
        <v>380</v>
      </c>
      <c r="F125" t="s">
        <v>26</v>
      </c>
      <c r="G125" t="s">
        <v>27</v>
      </c>
      <c r="H125">
        <v>25</v>
      </c>
      <c r="I125" t="s">
        <v>287</v>
      </c>
      <c r="J125" t="str">
        <f>IF(Table3_1[[#This Row],[Discount_applied]]=0,"No Discount","Discount Applied")</f>
        <v>Discount Applied</v>
      </c>
    </row>
    <row r="126" spans="1:10" x14ac:dyDescent="0.3">
      <c r="A126" t="s">
        <v>411</v>
      </c>
      <c r="B126" s="1">
        <v>45761</v>
      </c>
      <c r="C126" t="s">
        <v>269</v>
      </c>
      <c r="D126">
        <v>2</v>
      </c>
      <c r="E126">
        <v>200</v>
      </c>
      <c r="F126" t="s">
        <v>14</v>
      </c>
      <c r="G126" t="s">
        <v>15</v>
      </c>
      <c r="H126">
        <v>0</v>
      </c>
      <c r="I126" t="s">
        <v>290</v>
      </c>
      <c r="J126" t="str">
        <f>IF(Table3_1[[#This Row],[Discount_applied]]=0,"No Discount","Discount Applied")</f>
        <v>No Discount</v>
      </c>
    </row>
    <row r="127" spans="1:10" x14ac:dyDescent="0.3">
      <c r="A127" t="s">
        <v>411</v>
      </c>
      <c r="B127" s="1">
        <v>45761</v>
      </c>
      <c r="C127" t="s">
        <v>305</v>
      </c>
      <c r="D127">
        <v>1</v>
      </c>
      <c r="E127">
        <v>140</v>
      </c>
      <c r="F127" t="s">
        <v>26</v>
      </c>
      <c r="G127" t="s">
        <v>27</v>
      </c>
      <c r="H127">
        <v>0</v>
      </c>
      <c r="I127" t="s">
        <v>293</v>
      </c>
      <c r="J127" t="str">
        <f>IF(Table3_1[[#This Row],[Discount_applied]]=0,"No Discount","Discount Applied")</f>
        <v>No Discount</v>
      </c>
    </row>
    <row r="128" spans="1:10" x14ac:dyDescent="0.3">
      <c r="A128" t="s">
        <v>411</v>
      </c>
      <c r="B128" s="1">
        <v>45761</v>
      </c>
      <c r="C128" t="s">
        <v>307</v>
      </c>
      <c r="D128">
        <v>4</v>
      </c>
      <c r="E128">
        <v>100</v>
      </c>
      <c r="F128" t="s">
        <v>14</v>
      </c>
      <c r="G128" t="s">
        <v>257</v>
      </c>
      <c r="H128">
        <v>10</v>
      </c>
      <c r="I128" t="s">
        <v>296</v>
      </c>
      <c r="J128" t="str">
        <f>IF(Table3_1[[#This Row],[Discount_applied]]=0,"No Discount","Discount Applied")</f>
        <v>Discount Applied</v>
      </c>
    </row>
    <row r="129" spans="1:10" x14ac:dyDescent="0.3">
      <c r="A129" t="s">
        <v>411</v>
      </c>
      <c r="B129" s="1">
        <v>45761</v>
      </c>
      <c r="C129" t="s">
        <v>309</v>
      </c>
      <c r="D129">
        <v>2</v>
      </c>
      <c r="E129">
        <v>320</v>
      </c>
      <c r="F129" t="s">
        <v>26</v>
      </c>
      <c r="G129" t="s">
        <v>27</v>
      </c>
      <c r="H129">
        <v>0</v>
      </c>
      <c r="I129" t="s">
        <v>298</v>
      </c>
      <c r="J129" t="str">
        <f>IF(Table3_1[[#This Row],[Discount_applied]]=0,"No Discount","Discount Applied")</f>
        <v>No Discount</v>
      </c>
    </row>
    <row r="130" spans="1:10" x14ac:dyDescent="0.3">
      <c r="A130" t="s">
        <v>411</v>
      </c>
      <c r="B130" s="1">
        <v>45761</v>
      </c>
      <c r="C130" t="s">
        <v>272</v>
      </c>
      <c r="D130">
        <v>1</v>
      </c>
      <c r="E130">
        <v>350</v>
      </c>
      <c r="F130" t="s">
        <v>14</v>
      </c>
      <c r="G130" t="s">
        <v>15</v>
      </c>
      <c r="H130">
        <v>15</v>
      </c>
      <c r="I130" t="s">
        <v>287</v>
      </c>
      <c r="J130" t="str">
        <f>IF(Table3_1[[#This Row],[Discount_applied]]=0,"No Discount","Discount Applied")</f>
        <v>Discount Applied</v>
      </c>
    </row>
    <row r="131" spans="1:10" x14ac:dyDescent="0.3">
      <c r="A131" t="s">
        <v>411</v>
      </c>
      <c r="B131" s="1">
        <v>45761</v>
      </c>
      <c r="C131" t="s">
        <v>312</v>
      </c>
      <c r="D131">
        <v>2</v>
      </c>
      <c r="E131">
        <v>240</v>
      </c>
      <c r="F131" t="s">
        <v>26</v>
      </c>
      <c r="G131" t="s">
        <v>257</v>
      </c>
      <c r="H131">
        <v>0</v>
      </c>
      <c r="I131" t="s">
        <v>300</v>
      </c>
      <c r="J131" t="str">
        <f>IF(Table3_1[[#This Row],[Discount_applied]]=0,"No Discount","Discount Applied")</f>
        <v>No Discount</v>
      </c>
    </row>
    <row r="132" spans="1:10" x14ac:dyDescent="0.3">
      <c r="A132" t="s">
        <v>411</v>
      </c>
      <c r="B132" s="1">
        <v>45761</v>
      </c>
      <c r="C132" t="s">
        <v>314</v>
      </c>
      <c r="D132">
        <v>1</v>
      </c>
      <c r="E132">
        <v>300</v>
      </c>
      <c r="F132" t="s">
        <v>14</v>
      </c>
      <c r="G132" t="s">
        <v>27</v>
      </c>
      <c r="H132">
        <v>20</v>
      </c>
      <c r="I132" t="s">
        <v>290</v>
      </c>
      <c r="J132" t="str">
        <f>IF(Table3_1[[#This Row],[Discount_applied]]=0,"No Discount","Discount Applied")</f>
        <v>Discount Applied</v>
      </c>
    </row>
    <row r="133" spans="1:10" x14ac:dyDescent="0.3">
      <c r="A133" t="s">
        <v>411</v>
      </c>
      <c r="B133" s="1">
        <v>45761</v>
      </c>
      <c r="C133" t="s">
        <v>256</v>
      </c>
      <c r="D133">
        <v>3</v>
      </c>
      <c r="E133">
        <v>150</v>
      </c>
      <c r="F133" t="s">
        <v>26</v>
      </c>
      <c r="G133" t="s">
        <v>15</v>
      </c>
      <c r="H133">
        <v>0</v>
      </c>
      <c r="I133" t="s">
        <v>293</v>
      </c>
      <c r="J133" t="str">
        <f>IF(Table3_1[[#This Row],[Discount_applied]]=0,"No Discount","Discount Applied")</f>
        <v>No Discount</v>
      </c>
    </row>
    <row r="134" spans="1:10" x14ac:dyDescent="0.3">
      <c r="A134" t="s">
        <v>411</v>
      </c>
      <c r="B134" s="1">
        <v>45761</v>
      </c>
      <c r="C134" t="s">
        <v>251</v>
      </c>
      <c r="D134">
        <v>2</v>
      </c>
      <c r="E134">
        <v>400</v>
      </c>
      <c r="F134" t="s">
        <v>14</v>
      </c>
      <c r="G134" t="s">
        <v>27</v>
      </c>
      <c r="H134">
        <v>0</v>
      </c>
      <c r="I134" t="s">
        <v>296</v>
      </c>
      <c r="J134" t="str">
        <f>IF(Table3_1[[#This Row],[Discount_applied]]=0,"No Discount","Discount Applied")</f>
        <v>No Discount</v>
      </c>
    </row>
    <row r="135" spans="1:10" x14ac:dyDescent="0.3">
      <c r="A135" t="s">
        <v>411</v>
      </c>
      <c r="B135" s="1">
        <v>45761</v>
      </c>
      <c r="C135" t="s">
        <v>318</v>
      </c>
      <c r="D135">
        <v>1</v>
      </c>
      <c r="E135">
        <v>250</v>
      </c>
      <c r="F135" t="s">
        <v>26</v>
      </c>
      <c r="G135" t="s">
        <v>15</v>
      </c>
      <c r="H135">
        <v>30</v>
      </c>
      <c r="I135" t="s">
        <v>298</v>
      </c>
      <c r="J135" t="str">
        <f>IF(Table3_1[[#This Row],[Discount_applied]]=0,"No Discount","Discount Applied")</f>
        <v>Discount Applied</v>
      </c>
    </row>
    <row r="136" spans="1:10" x14ac:dyDescent="0.3">
      <c r="A136" t="s">
        <v>411</v>
      </c>
      <c r="B136" s="1">
        <v>45761</v>
      </c>
      <c r="C136" t="s">
        <v>280</v>
      </c>
      <c r="D136">
        <v>1</v>
      </c>
      <c r="E136">
        <v>150</v>
      </c>
      <c r="F136" t="s">
        <v>14</v>
      </c>
      <c r="G136" t="s">
        <v>257</v>
      </c>
      <c r="H136">
        <v>0</v>
      </c>
      <c r="I136" t="s">
        <v>287</v>
      </c>
      <c r="J136" t="str">
        <f>IF(Table3_1[[#This Row],[Discount_applied]]=0,"No Discount","Discount Applied")</f>
        <v>No Discount</v>
      </c>
    </row>
    <row r="137" spans="1:10" x14ac:dyDescent="0.3">
      <c r="A137" t="s">
        <v>411</v>
      </c>
      <c r="B137" s="1">
        <v>45761</v>
      </c>
      <c r="C137" t="s">
        <v>244</v>
      </c>
      <c r="D137">
        <v>2</v>
      </c>
      <c r="E137">
        <v>300</v>
      </c>
      <c r="F137" t="s">
        <v>26</v>
      </c>
      <c r="G137" t="s">
        <v>27</v>
      </c>
      <c r="H137">
        <v>0</v>
      </c>
      <c r="I137" t="s">
        <v>300</v>
      </c>
      <c r="J137" t="str">
        <f>IF(Table3_1[[#This Row],[Discount_applied]]=0,"No Discount","Discount Applied")</f>
        <v>No Discount</v>
      </c>
    </row>
    <row r="138" spans="1:10" x14ac:dyDescent="0.3">
      <c r="A138" t="s">
        <v>411</v>
      </c>
      <c r="B138" s="1">
        <v>45761</v>
      </c>
      <c r="C138" t="s">
        <v>322</v>
      </c>
      <c r="D138">
        <v>3</v>
      </c>
      <c r="E138">
        <v>180</v>
      </c>
      <c r="F138" t="s">
        <v>14</v>
      </c>
      <c r="G138" t="s">
        <v>15</v>
      </c>
      <c r="H138">
        <v>10</v>
      </c>
      <c r="I138" t="s">
        <v>290</v>
      </c>
      <c r="J138" t="str">
        <f>IF(Table3_1[[#This Row],[Discount_applied]]=0,"No Discount","Discount Applied")</f>
        <v>Discount Applied</v>
      </c>
    </row>
    <row r="139" spans="1:10" x14ac:dyDescent="0.3">
      <c r="A139" t="s">
        <v>411</v>
      </c>
      <c r="B139" s="1">
        <v>45761</v>
      </c>
      <c r="C139" t="s">
        <v>324</v>
      </c>
      <c r="D139">
        <v>2</v>
      </c>
      <c r="E139">
        <v>90</v>
      </c>
      <c r="F139" t="s">
        <v>26</v>
      </c>
      <c r="G139" t="s">
        <v>27</v>
      </c>
      <c r="H139">
        <v>0</v>
      </c>
      <c r="I139" t="s">
        <v>293</v>
      </c>
      <c r="J139" t="str">
        <f>IF(Table3_1[[#This Row],[Discount_applied]]=0,"No Discount","Discount Applied")</f>
        <v>No Discount</v>
      </c>
    </row>
    <row r="140" spans="1:10" x14ac:dyDescent="0.3">
      <c r="A140" t="s">
        <v>411</v>
      </c>
      <c r="B140" s="1">
        <v>45761</v>
      </c>
      <c r="C140" t="s">
        <v>326</v>
      </c>
      <c r="D140">
        <v>1</v>
      </c>
      <c r="E140">
        <v>320</v>
      </c>
      <c r="F140" t="s">
        <v>14</v>
      </c>
      <c r="G140" t="s">
        <v>257</v>
      </c>
      <c r="H140">
        <v>20</v>
      </c>
      <c r="I140" t="s">
        <v>296</v>
      </c>
      <c r="J140" t="str">
        <f>IF(Table3_1[[#This Row],[Discount_applied]]=0,"No Discount","Discount Applied")</f>
        <v>Discount Applied</v>
      </c>
    </row>
    <row r="141" spans="1:10" x14ac:dyDescent="0.3">
      <c r="A141" t="s">
        <v>411</v>
      </c>
      <c r="B141" s="1">
        <v>45761</v>
      </c>
      <c r="C141" t="s">
        <v>328</v>
      </c>
      <c r="D141">
        <v>3</v>
      </c>
      <c r="E141">
        <v>120</v>
      </c>
      <c r="F141" t="s">
        <v>26</v>
      </c>
      <c r="G141" t="s">
        <v>15</v>
      </c>
      <c r="H141">
        <v>0</v>
      </c>
      <c r="I141" t="s">
        <v>298</v>
      </c>
      <c r="J141" t="str">
        <f>IF(Table3_1[[#This Row],[Discount_applied]]=0,"No Discount","Discount Applied")</f>
        <v>No Discount</v>
      </c>
    </row>
    <row r="142" spans="1:10" x14ac:dyDescent="0.3">
      <c r="A142" t="s">
        <v>411</v>
      </c>
      <c r="B142" s="1">
        <v>45761</v>
      </c>
      <c r="C142" t="s">
        <v>283</v>
      </c>
      <c r="D142">
        <v>1</v>
      </c>
      <c r="E142">
        <v>450</v>
      </c>
      <c r="F142" t="s">
        <v>14</v>
      </c>
      <c r="G142" t="s">
        <v>27</v>
      </c>
      <c r="H142">
        <v>15</v>
      </c>
      <c r="I142" t="s">
        <v>287</v>
      </c>
      <c r="J142" t="str">
        <f>IF(Table3_1[[#This Row],[Discount_applied]]=0,"No Discount","Discount Applied")</f>
        <v>Discount Applied</v>
      </c>
    </row>
    <row r="143" spans="1:10" x14ac:dyDescent="0.3">
      <c r="A143" t="s">
        <v>411</v>
      </c>
      <c r="B143" s="1">
        <v>45761</v>
      </c>
      <c r="C143" t="s">
        <v>331</v>
      </c>
      <c r="D143">
        <v>2</v>
      </c>
      <c r="E143">
        <v>260</v>
      </c>
      <c r="F143" t="s">
        <v>26</v>
      </c>
      <c r="G143" t="s">
        <v>15</v>
      </c>
      <c r="H143">
        <v>0</v>
      </c>
      <c r="I143" t="s">
        <v>300</v>
      </c>
      <c r="J143" t="str">
        <f>IF(Table3_1[[#This Row],[Discount_applied]]=0,"No Discount","Discount Applied")</f>
        <v>No Discount</v>
      </c>
    </row>
    <row r="144" spans="1:10" x14ac:dyDescent="0.3">
      <c r="A144" t="s">
        <v>411</v>
      </c>
      <c r="B144" s="1">
        <v>45761</v>
      </c>
      <c r="C144" t="s">
        <v>333</v>
      </c>
      <c r="D144">
        <v>3</v>
      </c>
      <c r="E144">
        <v>300</v>
      </c>
      <c r="F144" t="s">
        <v>14</v>
      </c>
      <c r="G144" t="s">
        <v>257</v>
      </c>
      <c r="H144">
        <v>20</v>
      </c>
      <c r="I144" t="s">
        <v>290</v>
      </c>
      <c r="J144" t="str">
        <f>IF(Table3_1[[#This Row],[Discount_applied]]=0,"No Discount","Discount Applied")</f>
        <v>Discount Applied</v>
      </c>
    </row>
    <row r="145" spans="1:10" x14ac:dyDescent="0.3">
      <c r="A145" t="s">
        <v>411</v>
      </c>
      <c r="B145" s="1">
        <v>45761</v>
      </c>
      <c r="C145" t="s">
        <v>335</v>
      </c>
      <c r="D145">
        <v>1</v>
      </c>
      <c r="E145">
        <v>200</v>
      </c>
      <c r="F145" t="s">
        <v>26</v>
      </c>
      <c r="G145" t="s">
        <v>27</v>
      </c>
      <c r="H145">
        <v>0</v>
      </c>
      <c r="I145" t="s">
        <v>293</v>
      </c>
      <c r="J145" t="str">
        <f>IF(Table3_1[[#This Row],[Discount_applied]]=0,"No Discount","Discount Applied")</f>
        <v>No Discount</v>
      </c>
    </row>
    <row r="146" spans="1:10" x14ac:dyDescent="0.3">
      <c r="A146" t="s">
        <v>411</v>
      </c>
      <c r="B146" s="1">
        <v>45761</v>
      </c>
      <c r="C146" t="s">
        <v>337</v>
      </c>
      <c r="D146">
        <v>2</v>
      </c>
      <c r="E146">
        <v>240</v>
      </c>
      <c r="F146" t="s">
        <v>14</v>
      </c>
      <c r="G146" t="s">
        <v>27</v>
      </c>
      <c r="H146">
        <v>10</v>
      </c>
      <c r="I146" t="s">
        <v>296</v>
      </c>
      <c r="J146" t="str">
        <f>IF(Table3_1[[#This Row],[Discount_applied]]=0,"No Discount","Discount Applied")</f>
        <v>Discount Applied</v>
      </c>
    </row>
    <row r="147" spans="1:10" x14ac:dyDescent="0.3">
      <c r="A147" t="s">
        <v>411</v>
      </c>
      <c r="B147" s="1">
        <v>45761</v>
      </c>
      <c r="C147" t="s">
        <v>339</v>
      </c>
      <c r="D147">
        <v>1</v>
      </c>
      <c r="E147">
        <v>320</v>
      </c>
      <c r="F147" t="s">
        <v>26</v>
      </c>
      <c r="G147" t="s">
        <v>15</v>
      </c>
      <c r="H147">
        <v>0</v>
      </c>
      <c r="I147" t="s">
        <v>298</v>
      </c>
      <c r="J147" t="str">
        <f>IF(Table3_1[[#This Row],[Discount_applied]]=0,"No Discount","Discount Applied")</f>
        <v>No Discount</v>
      </c>
    </row>
    <row r="148" spans="1:10" x14ac:dyDescent="0.3">
      <c r="A148" t="s">
        <v>411</v>
      </c>
      <c r="B148" s="1">
        <v>45761</v>
      </c>
      <c r="C148" t="s">
        <v>256</v>
      </c>
      <c r="D148">
        <v>4</v>
      </c>
      <c r="E148">
        <v>200</v>
      </c>
      <c r="F148" t="s">
        <v>14</v>
      </c>
      <c r="G148" t="s">
        <v>15</v>
      </c>
      <c r="H148">
        <v>0</v>
      </c>
      <c r="I148" t="s">
        <v>287</v>
      </c>
      <c r="J148" t="str">
        <f>IF(Table3_1[[#This Row],[Discount_applied]]=0,"No Discount","Discount Applied")</f>
        <v>No Discount</v>
      </c>
    </row>
    <row r="149" spans="1:10" x14ac:dyDescent="0.3">
      <c r="A149" t="s">
        <v>411</v>
      </c>
      <c r="B149" s="1">
        <v>45761</v>
      </c>
      <c r="C149" t="s">
        <v>260</v>
      </c>
      <c r="D149">
        <v>1</v>
      </c>
      <c r="E149">
        <v>250</v>
      </c>
      <c r="F149" t="s">
        <v>26</v>
      </c>
      <c r="G149" t="s">
        <v>27</v>
      </c>
      <c r="H149">
        <v>30</v>
      </c>
      <c r="I149" t="s">
        <v>300</v>
      </c>
      <c r="J149" t="str">
        <f>IF(Table3_1[[#This Row],[Discount_applied]]=0,"No Discount","Discount Applied")</f>
        <v>Discount Applied</v>
      </c>
    </row>
    <row r="150" spans="1:10" x14ac:dyDescent="0.3">
      <c r="A150" t="s">
        <v>411</v>
      </c>
      <c r="B150" s="1">
        <v>45761</v>
      </c>
      <c r="C150" t="s">
        <v>263</v>
      </c>
      <c r="D150">
        <v>2</v>
      </c>
      <c r="E150">
        <v>180</v>
      </c>
      <c r="F150" t="s">
        <v>14</v>
      </c>
      <c r="G150" t="s">
        <v>257</v>
      </c>
      <c r="H150">
        <v>0</v>
      </c>
      <c r="I150" t="s">
        <v>290</v>
      </c>
      <c r="J150" t="str">
        <f>IF(Table3_1[[#This Row],[Discount_applied]]=0,"No Discount","Discount Applied")</f>
        <v>No Discount</v>
      </c>
    </row>
    <row r="151" spans="1:10" x14ac:dyDescent="0.3">
      <c r="A151" t="s">
        <v>411</v>
      </c>
      <c r="B151" s="1">
        <v>45761</v>
      </c>
      <c r="C151" t="s">
        <v>251</v>
      </c>
      <c r="D151">
        <v>1</v>
      </c>
      <c r="E151">
        <v>200</v>
      </c>
      <c r="F151" t="s">
        <v>26</v>
      </c>
      <c r="G151" t="s">
        <v>27</v>
      </c>
      <c r="H151">
        <v>0</v>
      </c>
      <c r="I151" t="s">
        <v>293</v>
      </c>
      <c r="J151" t="str">
        <f>IF(Table3_1[[#This Row],[Discount_applied]]=0,"No Discount","Discount Applied")</f>
        <v>No Discount</v>
      </c>
    </row>
    <row r="152" spans="1:10" x14ac:dyDescent="0.3">
      <c r="A152" t="s">
        <v>411</v>
      </c>
      <c r="B152" s="1">
        <v>45761</v>
      </c>
      <c r="C152" t="s">
        <v>266</v>
      </c>
      <c r="D152">
        <v>2</v>
      </c>
      <c r="E152">
        <v>500</v>
      </c>
      <c r="F152" t="s">
        <v>14</v>
      </c>
      <c r="G152" t="s">
        <v>15</v>
      </c>
      <c r="H152">
        <v>15</v>
      </c>
      <c r="I152" t="s">
        <v>296</v>
      </c>
      <c r="J152" t="str">
        <f>IF(Table3_1[[#This Row],[Discount_applied]]=0,"No Discount","Discount Applied")</f>
        <v>Discount Applied</v>
      </c>
    </row>
    <row r="153" spans="1:10" x14ac:dyDescent="0.3">
      <c r="A153" t="s">
        <v>411</v>
      </c>
      <c r="B153" s="1">
        <v>45761</v>
      </c>
      <c r="C153" t="s">
        <v>269</v>
      </c>
      <c r="D153">
        <v>1</v>
      </c>
      <c r="E153">
        <v>180</v>
      </c>
      <c r="F153" t="s">
        <v>26</v>
      </c>
      <c r="G153" t="s">
        <v>27</v>
      </c>
      <c r="H153">
        <v>0</v>
      </c>
      <c r="I153" t="s">
        <v>298</v>
      </c>
      <c r="J153" t="str">
        <f>IF(Table3_1[[#This Row],[Discount_applied]]=0,"No Discount","Discount Applied")</f>
        <v>No Discount</v>
      </c>
    </row>
    <row r="154" spans="1:10" x14ac:dyDescent="0.3">
      <c r="A154" t="s">
        <v>411</v>
      </c>
      <c r="B154" s="1">
        <v>45761</v>
      </c>
      <c r="C154" t="s">
        <v>244</v>
      </c>
      <c r="D154">
        <v>3</v>
      </c>
      <c r="E154">
        <v>450</v>
      </c>
      <c r="F154" t="s">
        <v>14</v>
      </c>
      <c r="G154" t="s">
        <v>257</v>
      </c>
      <c r="H154">
        <v>20</v>
      </c>
      <c r="I154" t="s">
        <v>287</v>
      </c>
      <c r="J154" t="str">
        <f>IF(Table3_1[[#This Row],[Discount_applied]]=0,"No Discount","Discount Applied")</f>
        <v>Discount Applied</v>
      </c>
    </row>
    <row r="155" spans="1:10" x14ac:dyDescent="0.3">
      <c r="A155" t="s">
        <v>411</v>
      </c>
      <c r="B155" s="1">
        <v>45761</v>
      </c>
      <c r="C155" t="s">
        <v>272</v>
      </c>
      <c r="D155">
        <v>1</v>
      </c>
      <c r="E155">
        <v>300</v>
      </c>
      <c r="F155" t="s">
        <v>26</v>
      </c>
      <c r="G155" t="s">
        <v>15</v>
      </c>
      <c r="H155">
        <v>0</v>
      </c>
      <c r="I155" t="s">
        <v>300</v>
      </c>
      <c r="J155" t="str">
        <f>IF(Table3_1[[#This Row],[Discount_applied]]=0,"No Discount","Discount Applied")</f>
        <v>No Discount</v>
      </c>
    </row>
    <row r="156" spans="1:10" x14ac:dyDescent="0.3">
      <c r="A156" t="s">
        <v>411</v>
      </c>
      <c r="B156" s="1">
        <v>45761</v>
      </c>
      <c r="C156" t="s">
        <v>274</v>
      </c>
      <c r="D156">
        <v>2</v>
      </c>
      <c r="E156">
        <v>260</v>
      </c>
      <c r="F156" t="s">
        <v>14</v>
      </c>
      <c r="G156" t="s">
        <v>27</v>
      </c>
      <c r="H156">
        <v>0</v>
      </c>
      <c r="I156" t="s">
        <v>290</v>
      </c>
      <c r="J156" t="str">
        <f>IF(Table3_1[[#This Row],[Discount_applied]]=0,"No Discount","Discount Applied")</f>
        <v>No Discount</v>
      </c>
    </row>
    <row r="157" spans="1:10" x14ac:dyDescent="0.3">
      <c r="A157" t="s">
        <v>411</v>
      </c>
      <c r="B157" s="1">
        <v>45761</v>
      </c>
      <c r="C157" t="s">
        <v>276</v>
      </c>
      <c r="D157">
        <v>1</v>
      </c>
      <c r="E157">
        <v>350</v>
      </c>
      <c r="F157" t="s">
        <v>26</v>
      </c>
      <c r="G157" t="s">
        <v>15</v>
      </c>
      <c r="H157">
        <v>25</v>
      </c>
      <c r="I157" t="s">
        <v>293</v>
      </c>
      <c r="J157" t="str">
        <f>IF(Table3_1[[#This Row],[Discount_applied]]=0,"No Discount","Discount Applied")</f>
        <v>Discount Applied</v>
      </c>
    </row>
    <row r="158" spans="1:10" x14ac:dyDescent="0.3">
      <c r="A158" t="s">
        <v>411</v>
      </c>
      <c r="B158" s="1">
        <v>45761</v>
      </c>
      <c r="C158" t="s">
        <v>274</v>
      </c>
      <c r="D158">
        <v>2</v>
      </c>
      <c r="E158">
        <v>260</v>
      </c>
      <c r="F158" t="s">
        <v>14</v>
      </c>
      <c r="G158" t="s">
        <v>27</v>
      </c>
      <c r="H158">
        <v>0</v>
      </c>
      <c r="I158" t="s">
        <v>261</v>
      </c>
      <c r="J158" t="str">
        <f>IF(Table3_1[[#This Row],[Discount_applied]]=0,"No Discount","Discount Applied")</f>
        <v>No Discount</v>
      </c>
    </row>
    <row r="159" spans="1:10" x14ac:dyDescent="0.3">
      <c r="A159" t="s">
        <v>411</v>
      </c>
      <c r="B159" s="1">
        <v>45761</v>
      </c>
      <c r="C159" t="s">
        <v>276</v>
      </c>
      <c r="D159">
        <v>1</v>
      </c>
      <c r="E159">
        <v>350</v>
      </c>
      <c r="F159" t="s">
        <v>26</v>
      </c>
      <c r="G159" t="s">
        <v>15</v>
      </c>
      <c r="H159">
        <v>0</v>
      </c>
      <c r="I159" t="s">
        <v>267</v>
      </c>
      <c r="J159" t="str">
        <f>IF(Table3_1[[#This Row],[Discount_applied]]=0,"No Discount","Discount Applied")</f>
        <v>No Discount</v>
      </c>
    </row>
    <row r="160" spans="1:10" x14ac:dyDescent="0.3">
      <c r="A160" t="s">
        <v>411</v>
      </c>
      <c r="B160" s="1">
        <v>45761</v>
      </c>
      <c r="C160" t="s">
        <v>278</v>
      </c>
      <c r="D160">
        <v>3</v>
      </c>
      <c r="E160">
        <v>420</v>
      </c>
      <c r="F160" t="s">
        <v>14</v>
      </c>
      <c r="G160" t="s">
        <v>257</v>
      </c>
      <c r="H160">
        <v>40</v>
      </c>
      <c r="I160" t="s">
        <v>252</v>
      </c>
      <c r="J160" t="str">
        <f>IF(Table3_1[[#This Row],[Discount_applied]]=0,"No Discount","Discount Applied")</f>
        <v>Discount Applied</v>
      </c>
    </row>
    <row r="161" spans="1:10" x14ac:dyDescent="0.3">
      <c r="A161" t="s">
        <v>411</v>
      </c>
      <c r="B161" s="1">
        <v>45761</v>
      </c>
      <c r="C161" t="s">
        <v>280</v>
      </c>
      <c r="D161">
        <v>2</v>
      </c>
      <c r="E161">
        <v>240</v>
      </c>
      <c r="F161" t="s">
        <v>26</v>
      </c>
      <c r="G161" t="s">
        <v>15</v>
      </c>
      <c r="H161">
        <v>0</v>
      </c>
      <c r="I161" t="s">
        <v>281</v>
      </c>
      <c r="J161" t="str">
        <f>IF(Table3_1[[#This Row],[Discount_applied]]=0,"No Discount","Discount Applied")</f>
        <v>No Discount</v>
      </c>
    </row>
    <row r="162" spans="1:10" x14ac:dyDescent="0.3">
      <c r="A162" t="s">
        <v>411</v>
      </c>
      <c r="B162" s="1">
        <v>45761</v>
      </c>
      <c r="C162" t="s">
        <v>283</v>
      </c>
      <c r="D162">
        <v>1</v>
      </c>
      <c r="E162">
        <v>450</v>
      </c>
      <c r="F162" t="s">
        <v>14</v>
      </c>
      <c r="G162" t="s">
        <v>27</v>
      </c>
      <c r="H162">
        <v>30</v>
      </c>
      <c r="I162" t="s">
        <v>284</v>
      </c>
      <c r="J162" t="str">
        <f>IF(Table3_1[[#This Row],[Discount_applied]]=0,"No Discount","Discount Applied")</f>
        <v>Discount Applied</v>
      </c>
    </row>
    <row r="163" spans="1:10" x14ac:dyDescent="0.3">
      <c r="A163" t="s">
        <v>411</v>
      </c>
      <c r="B163" s="1">
        <v>45761</v>
      </c>
      <c r="C163" t="s">
        <v>286</v>
      </c>
      <c r="D163">
        <v>2</v>
      </c>
      <c r="E163">
        <v>500</v>
      </c>
      <c r="F163" t="s">
        <v>26</v>
      </c>
      <c r="G163" t="s">
        <v>15</v>
      </c>
      <c r="H163">
        <v>0</v>
      </c>
      <c r="I163" t="s">
        <v>287</v>
      </c>
      <c r="J163" t="str">
        <f>IF(Table3_1[[#This Row],[Discount_applied]]=0,"No Discount","Discount Applied")</f>
        <v>No Discount</v>
      </c>
    </row>
    <row r="164" spans="1:10" x14ac:dyDescent="0.3">
      <c r="A164" t="s">
        <v>411</v>
      </c>
      <c r="B164" s="1">
        <v>45761</v>
      </c>
      <c r="C164" t="s">
        <v>289</v>
      </c>
      <c r="D164">
        <v>1</v>
      </c>
      <c r="E164">
        <v>220</v>
      </c>
      <c r="F164" t="s">
        <v>14</v>
      </c>
      <c r="G164" t="s">
        <v>27</v>
      </c>
      <c r="H164">
        <v>20</v>
      </c>
      <c r="I164" t="s">
        <v>290</v>
      </c>
      <c r="J164" t="str">
        <f>IF(Table3_1[[#This Row],[Discount_applied]]=0,"No Discount","Discount Applied")</f>
        <v>Discount Applied</v>
      </c>
    </row>
    <row r="165" spans="1:10" x14ac:dyDescent="0.3">
      <c r="A165" t="s">
        <v>411</v>
      </c>
      <c r="B165" s="1">
        <v>45761</v>
      </c>
      <c r="C165" t="s">
        <v>292</v>
      </c>
      <c r="D165">
        <v>3</v>
      </c>
      <c r="E165">
        <v>180</v>
      </c>
      <c r="F165" t="s">
        <v>26</v>
      </c>
      <c r="G165" t="s">
        <v>257</v>
      </c>
      <c r="H165">
        <v>0</v>
      </c>
      <c r="I165" t="s">
        <v>293</v>
      </c>
      <c r="J165" t="str">
        <f>IF(Table3_1[[#This Row],[Discount_applied]]=0,"No Discount","Discount Applied")</f>
        <v>No Discount</v>
      </c>
    </row>
    <row r="166" spans="1:10" x14ac:dyDescent="0.3">
      <c r="A166" t="s">
        <v>411</v>
      </c>
      <c r="B166" s="1">
        <v>45761</v>
      </c>
      <c r="C166" t="s">
        <v>295</v>
      </c>
      <c r="D166">
        <v>1</v>
      </c>
      <c r="E166">
        <v>280</v>
      </c>
      <c r="F166" t="s">
        <v>14</v>
      </c>
      <c r="G166" t="s">
        <v>27</v>
      </c>
      <c r="H166">
        <v>0</v>
      </c>
      <c r="I166" t="s">
        <v>296</v>
      </c>
      <c r="J166" t="str">
        <f>IF(Table3_1[[#This Row],[Discount_applied]]=0,"No Discount","Discount Applied")</f>
        <v>No Discount</v>
      </c>
    </row>
    <row r="167" spans="1:10" x14ac:dyDescent="0.3">
      <c r="A167" t="s">
        <v>411</v>
      </c>
      <c r="B167" s="1">
        <v>45761</v>
      </c>
      <c r="C167" t="s">
        <v>266</v>
      </c>
      <c r="D167">
        <v>2</v>
      </c>
      <c r="E167">
        <v>500</v>
      </c>
      <c r="F167" t="s">
        <v>26</v>
      </c>
      <c r="G167" t="s">
        <v>15</v>
      </c>
      <c r="H167">
        <v>10</v>
      </c>
      <c r="I167" t="s">
        <v>298</v>
      </c>
      <c r="J167" t="str">
        <f>IF(Table3_1[[#This Row],[Discount_applied]]=0,"No Discount","Discount Applied")</f>
        <v>Discount Applied</v>
      </c>
    </row>
    <row r="168" spans="1:10" x14ac:dyDescent="0.3">
      <c r="A168" t="s">
        <v>411</v>
      </c>
      <c r="B168" s="1">
        <v>45761</v>
      </c>
      <c r="C168" t="s">
        <v>278</v>
      </c>
      <c r="D168">
        <v>1</v>
      </c>
      <c r="E168">
        <v>160</v>
      </c>
      <c r="F168" t="s">
        <v>14</v>
      </c>
      <c r="G168" t="s">
        <v>257</v>
      </c>
      <c r="H168">
        <v>0</v>
      </c>
      <c r="I168" t="s">
        <v>300</v>
      </c>
      <c r="J168" t="str">
        <f>IF(Table3_1[[#This Row],[Discount_applied]]=0,"No Discount","Discount Applied")</f>
        <v>No Discount</v>
      </c>
    </row>
    <row r="169" spans="1:10" x14ac:dyDescent="0.3">
      <c r="A169" t="s">
        <v>411</v>
      </c>
      <c r="B169" s="1">
        <v>45761</v>
      </c>
      <c r="C169" t="s">
        <v>302</v>
      </c>
      <c r="D169">
        <v>1</v>
      </c>
      <c r="E169">
        <v>380</v>
      </c>
      <c r="F169" t="s">
        <v>26</v>
      </c>
      <c r="G169" t="s">
        <v>27</v>
      </c>
      <c r="H169">
        <v>25</v>
      </c>
      <c r="I169" t="s">
        <v>287</v>
      </c>
      <c r="J169" t="str">
        <f>IF(Table3_1[[#This Row],[Discount_applied]]=0,"No Discount","Discount Applied")</f>
        <v>Discount Applied</v>
      </c>
    </row>
    <row r="170" spans="1:10" x14ac:dyDescent="0.3">
      <c r="A170" t="s">
        <v>411</v>
      </c>
      <c r="B170" s="1">
        <v>45761</v>
      </c>
      <c r="C170" t="s">
        <v>269</v>
      </c>
      <c r="D170">
        <v>2</v>
      </c>
      <c r="E170">
        <v>200</v>
      </c>
      <c r="F170" t="s">
        <v>14</v>
      </c>
      <c r="G170" t="s">
        <v>15</v>
      </c>
      <c r="H170">
        <v>0</v>
      </c>
      <c r="I170" t="s">
        <v>290</v>
      </c>
      <c r="J170" t="str">
        <f>IF(Table3_1[[#This Row],[Discount_applied]]=0,"No Discount","Discount Applied")</f>
        <v>No Discount</v>
      </c>
    </row>
    <row r="171" spans="1:10" x14ac:dyDescent="0.3">
      <c r="A171" t="s">
        <v>411</v>
      </c>
      <c r="B171" s="1">
        <v>45761</v>
      </c>
      <c r="C171" t="s">
        <v>305</v>
      </c>
      <c r="D171">
        <v>1</v>
      </c>
      <c r="E171">
        <v>140</v>
      </c>
      <c r="F171" t="s">
        <v>26</v>
      </c>
      <c r="G171" t="s">
        <v>27</v>
      </c>
      <c r="H171">
        <v>0</v>
      </c>
      <c r="I171" t="s">
        <v>293</v>
      </c>
      <c r="J171" t="str">
        <f>IF(Table3_1[[#This Row],[Discount_applied]]=0,"No Discount","Discount Applied")</f>
        <v>No Discount</v>
      </c>
    </row>
    <row r="172" spans="1:10" x14ac:dyDescent="0.3">
      <c r="A172" t="s">
        <v>411</v>
      </c>
      <c r="B172" s="1">
        <v>45761</v>
      </c>
      <c r="C172" t="s">
        <v>307</v>
      </c>
      <c r="D172">
        <v>4</v>
      </c>
      <c r="E172">
        <v>100</v>
      </c>
      <c r="F172" t="s">
        <v>14</v>
      </c>
      <c r="G172" t="s">
        <v>257</v>
      </c>
      <c r="H172">
        <v>10</v>
      </c>
      <c r="I172" t="s">
        <v>296</v>
      </c>
      <c r="J172" t="str">
        <f>IF(Table3_1[[#This Row],[Discount_applied]]=0,"No Discount","Discount Applied")</f>
        <v>Discount Applied</v>
      </c>
    </row>
    <row r="173" spans="1:10" x14ac:dyDescent="0.3">
      <c r="A173" t="s">
        <v>411</v>
      </c>
      <c r="B173" s="1">
        <v>45761</v>
      </c>
      <c r="C173" t="s">
        <v>309</v>
      </c>
      <c r="D173">
        <v>2</v>
      </c>
      <c r="E173">
        <v>320</v>
      </c>
      <c r="F173" t="s">
        <v>26</v>
      </c>
      <c r="G173" t="s">
        <v>27</v>
      </c>
      <c r="H173">
        <v>0</v>
      </c>
      <c r="I173" t="s">
        <v>298</v>
      </c>
      <c r="J173" t="str">
        <f>IF(Table3_1[[#This Row],[Discount_applied]]=0,"No Discount","Discount Applied")</f>
        <v>No Discount</v>
      </c>
    </row>
    <row r="174" spans="1:10" x14ac:dyDescent="0.3">
      <c r="A174" t="s">
        <v>411</v>
      </c>
      <c r="B174" s="1">
        <v>45761</v>
      </c>
      <c r="C174" t="s">
        <v>272</v>
      </c>
      <c r="D174">
        <v>1</v>
      </c>
      <c r="E174">
        <v>350</v>
      </c>
      <c r="F174" t="s">
        <v>14</v>
      </c>
      <c r="G174" t="s">
        <v>15</v>
      </c>
      <c r="H174">
        <v>15</v>
      </c>
      <c r="I174" t="s">
        <v>287</v>
      </c>
      <c r="J174" t="str">
        <f>IF(Table3_1[[#This Row],[Discount_applied]]=0,"No Discount","Discount Applied")</f>
        <v>Discount Applied</v>
      </c>
    </row>
    <row r="175" spans="1:10" x14ac:dyDescent="0.3">
      <c r="A175" t="s">
        <v>411</v>
      </c>
      <c r="B175" s="1">
        <v>45761</v>
      </c>
      <c r="C175" t="s">
        <v>312</v>
      </c>
      <c r="D175">
        <v>2</v>
      </c>
      <c r="E175">
        <v>240</v>
      </c>
      <c r="F175" t="s">
        <v>26</v>
      </c>
      <c r="G175" t="s">
        <v>257</v>
      </c>
      <c r="H175">
        <v>0</v>
      </c>
      <c r="I175" t="s">
        <v>300</v>
      </c>
      <c r="J175" t="str">
        <f>IF(Table3_1[[#This Row],[Discount_applied]]=0,"No Discount","Discount Applied")</f>
        <v>No Discount</v>
      </c>
    </row>
    <row r="176" spans="1:10" x14ac:dyDescent="0.3">
      <c r="A176" t="s">
        <v>411</v>
      </c>
      <c r="B176" s="1">
        <v>45761</v>
      </c>
      <c r="C176" t="s">
        <v>314</v>
      </c>
      <c r="D176">
        <v>1</v>
      </c>
      <c r="E176">
        <v>300</v>
      </c>
      <c r="F176" t="s">
        <v>14</v>
      </c>
      <c r="G176" t="s">
        <v>27</v>
      </c>
      <c r="H176">
        <v>20</v>
      </c>
      <c r="I176" t="s">
        <v>290</v>
      </c>
      <c r="J176" t="str">
        <f>IF(Table3_1[[#This Row],[Discount_applied]]=0,"No Discount","Discount Applied")</f>
        <v>Discount Applied</v>
      </c>
    </row>
    <row r="177" spans="1:10" x14ac:dyDescent="0.3">
      <c r="A177" t="s">
        <v>411</v>
      </c>
      <c r="B177" s="1">
        <v>45761</v>
      </c>
      <c r="C177" t="s">
        <v>256</v>
      </c>
      <c r="D177">
        <v>3</v>
      </c>
      <c r="E177">
        <v>150</v>
      </c>
      <c r="F177" t="s">
        <v>26</v>
      </c>
      <c r="G177" t="s">
        <v>15</v>
      </c>
      <c r="H177">
        <v>0</v>
      </c>
      <c r="I177" t="s">
        <v>293</v>
      </c>
      <c r="J177" t="str">
        <f>IF(Table3_1[[#This Row],[Discount_applied]]=0,"No Discount","Discount Applied")</f>
        <v>No Discount</v>
      </c>
    </row>
    <row r="178" spans="1:10" x14ac:dyDescent="0.3">
      <c r="A178" t="s">
        <v>411</v>
      </c>
      <c r="B178" s="1">
        <v>45761</v>
      </c>
      <c r="C178" t="s">
        <v>251</v>
      </c>
      <c r="D178">
        <v>2</v>
      </c>
      <c r="E178">
        <v>400</v>
      </c>
      <c r="F178" t="s">
        <v>14</v>
      </c>
      <c r="G178" t="s">
        <v>27</v>
      </c>
      <c r="H178">
        <v>0</v>
      </c>
      <c r="I178" t="s">
        <v>296</v>
      </c>
      <c r="J178" t="str">
        <f>IF(Table3_1[[#This Row],[Discount_applied]]=0,"No Discount","Discount Applied")</f>
        <v>No Discount</v>
      </c>
    </row>
    <row r="179" spans="1:10" x14ac:dyDescent="0.3">
      <c r="A179" t="s">
        <v>411</v>
      </c>
      <c r="B179" s="1">
        <v>45761</v>
      </c>
      <c r="C179" t="s">
        <v>318</v>
      </c>
      <c r="D179">
        <v>1</v>
      </c>
      <c r="E179">
        <v>250</v>
      </c>
      <c r="F179" t="s">
        <v>26</v>
      </c>
      <c r="G179" t="s">
        <v>15</v>
      </c>
      <c r="H179">
        <v>30</v>
      </c>
      <c r="I179" t="s">
        <v>298</v>
      </c>
      <c r="J179" t="str">
        <f>IF(Table3_1[[#This Row],[Discount_applied]]=0,"No Discount","Discount Applied")</f>
        <v>Discount Applied</v>
      </c>
    </row>
    <row r="180" spans="1:10" x14ac:dyDescent="0.3">
      <c r="A180" t="s">
        <v>411</v>
      </c>
      <c r="B180" s="1">
        <v>45761</v>
      </c>
      <c r="C180" t="s">
        <v>280</v>
      </c>
      <c r="D180">
        <v>1</v>
      </c>
      <c r="E180">
        <v>150</v>
      </c>
      <c r="F180" t="s">
        <v>14</v>
      </c>
      <c r="G180" t="s">
        <v>257</v>
      </c>
      <c r="H180">
        <v>0</v>
      </c>
      <c r="I180" t="s">
        <v>287</v>
      </c>
      <c r="J180" t="str">
        <f>IF(Table3_1[[#This Row],[Discount_applied]]=0,"No Discount","Discount Applied")</f>
        <v>No Discount</v>
      </c>
    </row>
    <row r="181" spans="1:10" x14ac:dyDescent="0.3">
      <c r="A181" t="s">
        <v>411</v>
      </c>
      <c r="B181" s="1">
        <v>45761</v>
      </c>
      <c r="C181" t="s">
        <v>244</v>
      </c>
      <c r="D181">
        <v>2</v>
      </c>
      <c r="E181">
        <v>300</v>
      </c>
      <c r="F181" t="s">
        <v>26</v>
      </c>
      <c r="G181" t="s">
        <v>27</v>
      </c>
      <c r="H181">
        <v>0</v>
      </c>
      <c r="I181" t="s">
        <v>300</v>
      </c>
      <c r="J181" t="str">
        <f>IF(Table3_1[[#This Row],[Discount_applied]]=0,"No Discount","Discount Applied")</f>
        <v>No Discount</v>
      </c>
    </row>
    <row r="182" spans="1:10" x14ac:dyDescent="0.3">
      <c r="A182" t="s">
        <v>411</v>
      </c>
      <c r="B182" s="1">
        <v>45761</v>
      </c>
      <c r="C182" t="s">
        <v>322</v>
      </c>
      <c r="D182">
        <v>3</v>
      </c>
      <c r="E182">
        <v>180</v>
      </c>
      <c r="F182" t="s">
        <v>14</v>
      </c>
      <c r="G182" t="s">
        <v>15</v>
      </c>
      <c r="H182">
        <v>10</v>
      </c>
      <c r="I182" t="s">
        <v>443</v>
      </c>
      <c r="J182" t="str">
        <f>IF(Table3_1[[#This Row],[Discount_applied]]=0,"No Discount","Discount Applied")</f>
        <v>Discount Applied</v>
      </c>
    </row>
    <row r="183" spans="1:10" x14ac:dyDescent="0.3">
      <c r="A183" t="s">
        <v>411</v>
      </c>
      <c r="B183" s="1">
        <v>45761</v>
      </c>
      <c r="C183" t="s">
        <v>324</v>
      </c>
      <c r="D183">
        <v>2</v>
      </c>
      <c r="E183">
        <v>90</v>
      </c>
      <c r="F183" t="s">
        <v>26</v>
      </c>
      <c r="G183" t="s">
        <v>27</v>
      </c>
      <c r="H183">
        <v>0</v>
      </c>
      <c r="I183" t="s">
        <v>293</v>
      </c>
      <c r="J183" t="str">
        <f>IF(Table3_1[[#This Row],[Discount_applied]]=0,"No Discount","Discount Applied")</f>
        <v>No Discount</v>
      </c>
    </row>
    <row r="184" spans="1:10" x14ac:dyDescent="0.3">
      <c r="A184" t="s">
        <v>411</v>
      </c>
      <c r="B184" s="1">
        <v>45761</v>
      </c>
      <c r="C184" t="s">
        <v>326</v>
      </c>
      <c r="D184">
        <v>1</v>
      </c>
      <c r="E184">
        <v>320</v>
      </c>
      <c r="F184" t="s">
        <v>14</v>
      </c>
      <c r="G184" t="s">
        <v>257</v>
      </c>
      <c r="H184">
        <v>20</v>
      </c>
      <c r="I184" t="s">
        <v>296</v>
      </c>
      <c r="J184" t="str">
        <f>IF(Table3_1[[#This Row],[Discount_applied]]=0,"No Discount","Discount Applied")</f>
        <v>Discount Applied</v>
      </c>
    </row>
    <row r="185" spans="1:10" x14ac:dyDescent="0.3">
      <c r="A185" t="s">
        <v>411</v>
      </c>
      <c r="B185" s="1">
        <v>45761</v>
      </c>
      <c r="C185" t="s">
        <v>328</v>
      </c>
      <c r="D185">
        <v>3</v>
      </c>
      <c r="E185">
        <v>120</v>
      </c>
      <c r="F185" t="s">
        <v>26</v>
      </c>
      <c r="G185" t="s">
        <v>15</v>
      </c>
      <c r="H185">
        <v>0</v>
      </c>
      <c r="I185" t="s">
        <v>298</v>
      </c>
      <c r="J185" t="str">
        <f>IF(Table3_1[[#This Row],[Discount_applied]]=0,"No Discount","Discount Applied")</f>
        <v>No Discount</v>
      </c>
    </row>
    <row r="186" spans="1:10" x14ac:dyDescent="0.3">
      <c r="A186" t="s">
        <v>411</v>
      </c>
      <c r="B186" s="1">
        <v>45761</v>
      </c>
      <c r="C186" t="s">
        <v>283</v>
      </c>
      <c r="D186">
        <v>1</v>
      </c>
      <c r="E186">
        <v>450</v>
      </c>
      <c r="F186" t="s">
        <v>14</v>
      </c>
      <c r="G186" t="s">
        <v>27</v>
      </c>
      <c r="H186">
        <v>15</v>
      </c>
      <c r="I186" t="s">
        <v>443</v>
      </c>
      <c r="J186" t="str">
        <f>IF(Table3_1[[#This Row],[Discount_applied]]=0,"No Discount","Discount Applied")</f>
        <v>Discount Applied</v>
      </c>
    </row>
    <row r="187" spans="1:10" x14ac:dyDescent="0.3">
      <c r="A187" t="s">
        <v>411</v>
      </c>
      <c r="B187" s="1">
        <v>45761</v>
      </c>
      <c r="C187" t="s">
        <v>331</v>
      </c>
      <c r="D187">
        <v>2</v>
      </c>
      <c r="E187">
        <v>260</v>
      </c>
      <c r="F187" t="s">
        <v>26</v>
      </c>
      <c r="G187" t="s">
        <v>15</v>
      </c>
      <c r="H187">
        <v>0</v>
      </c>
      <c r="I187" t="s">
        <v>300</v>
      </c>
      <c r="J187" t="str">
        <f>IF(Table3_1[[#This Row],[Discount_applied]]=0,"No Discount","Discount Applied")</f>
        <v>No Discount</v>
      </c>
    </row>
    <row r="188" spans="1:10" x14ac:dyDescent="0.3">
      <c r="A188" t="s">
        <v>411</v>
      </c>
      <c r="B188" s="1">
        <v>45761</v>
      </c>
      <c r="C188" t="s">
        <v>333</v>
      </c>
      <c r="D188">
        <v>3</v>
      </c>
      <c r="E188">
        <v>300</v>
      </c>
      <c r="F188" t="s">
        <v>14</v>
      </c>
      <c r="G188" t="s">
        <v>257</v>
      </c>
      <c r="H188">
        <v>20</v>
      </c>
      <c r="I188" t="s">
        <v>290</v>
      </c>
      <c r="J188" t="str">
        <f>IF(Table3_1[[#This Row],[Discount_applied]]=0,"No Discount","Discount Applied")</f>
        <v>Discount Applied</v>
      </c>
    </row>
    <row r="189" spans="1:10" x14ac:dyDescent="0.3">
      <c r="A189" t="s">
        <v>411</v>
      </c>
      <c r="B189" s="1">
        <v>45761</v>
      </c>
      <c r="C189" t="s">
        <v>335</v>
      </c>
      <c r="D189">
        <v>1</v>
      </c>
      <c r="E189">
        <v>200</v>
      </c>
      <c r="F189" t="s">
        <v>26</v>
      </c>
      <c r="G189" t="s">
        <v>27</v>
      </c>
      <c r="H189">
        <v>0</v>
      </c>
      <c r="I189" t="s">
        <v>293</v>
      </c>
      <c r="J189" t="str">
        <f>IF(Table3_1[[#This Row],[Discount_applied]]=0,"No Discount","Discount Applied")</f>
        <v>No Discount</v>
      </c>
    </row>
    <row r="190" spans="1:10" x14ac:dyDescent="0.3">
      <c r="A190" t="s">
        <v>411</v>
      </c>
      <c r="B190" s="1">
        <v>45761</v>
      </c>
      <c r="C190" t="s">
        <v>337</v>
      </c>
      <c r="D190">
        <v>2</v>
      </c>
      <c r="E190">
        <v>240</v>
      </c>
      <c r="F190" t="s">
        <v>14</v>
      </c>
      <c r="G190" t="s">
        <v>27</v>
      </c>
      <c r="H190">
        <v>10</v>
      </c>
      <c r="I190" t="s">
        <v>296</v>
      </c>
      <c r="J190" t="str">
        <f>IF(Table3_1[[#This Row],[Discount_applied]]=0,"No Discount","Discount Applied")</f>
        <v>Discount Applied</v>
      </c>
    </row>
    <row r="191" spans="1:10" x14ac:dyDescent="0.3">
      <c r="A191" t="s">
        <v>411</v>
      </c>
      <c r="B191" s="1">
        <v>45761</v>
      </c>
      <c r="C191" t="s">
        <v>339</v>
      </c>
      <c r="D191">
        <v>1</v>
      </c>
      <c r="E191">
        <v>320</v>
      </c>
      <c r="F191" t="s">
        <v>26</v>
      </c>
      <c r="G191" t="s">
        <v>15</v>
      </c>
      <c r="H191">
        <v>0</v>
      </c>
      <c r="I191" t="s">
        <v>298</v>
      </c>
      <c r="J191" t="str">
        <f>IF(Table3_1[[#This Row],[Discount_applied]]=0,"No Discount","Discount Applied")</f>
        <v>No Discount</v>
      </c>
    </row>
    <row r="192" spans="1:10" x14ac:dyDescent="0.3">
      <c r="A192" t="s">
        <v>411</v>
      </c>
      <c r="B192" s="1">
        <v>45761</v>
      </c>
      <c r="C192" t="s">
        <v>256</v>
      </c>
      <c r="D192">
        <v>4</v>
      </c>
      <c r="E192">
        <v>200</v>
      </c>
      <c r="F192" t="s">
        <v>14</v>
      </c>
      <c r="G192" t="s">
        <v>15</v>
      </c>
      <c r="H192">
        <v>0</v>
      </c>
      <c r="I192" t="s">
        <v>287</v>
      </c>
      <c r="J192" t="str">
        <f>IF(Table3_1[[#This Row],[Discount_applied]]=0,"No Discount","Discount Applied")</f>
        <v>No Discount</v>
      </c>
    </row>
    <row r="193" spans="1:10" x14ac:dyDescent="0.3">
      <c r="A193" t="s">
        <v>411</v>
      </c>
      <c r="B193" s="1">
        <v>45761</v>
      </c>
      <c r="C193" t="s">
        <v>260</v>
      </c>
      <c r="D193">
        <v>1</v>
      </c>
      <c r="E193">
        <v>250</v>
      </c>
      <c r="F193" t="s">
        <v>26</v>
      </c>
      <c r="G193" t="s">
        <v>27</v>
      </c>
      <c r="H193">
        <v>30</v>
      </c>
      <c r="I193" t="s">
        <v>300</v>
      </c>
      <c r="J193" t="str">
        <f>IF(Table3_1[[#This Row],[Discount_applied]]=0,"No Discount","Discount Applied")</f>
        <v>Discount Applied</v>
      </c>
    </row>
    <row r="194" spans="1:10" x14ac:dyDescent="0.3">
      <c r="A194" t="s">
        <v>411</v>
      </c>
      <c r="B194" s="1">
        <v>45761</v>
      </c>
      <c r="C194" t="s">
        <v>263</v>
      </c>
      <c r="D194">
        <v>2</v>
      </c>
      <c r="E194">
        <v>180</v>
      </c>
      <c r="F194" t="s">
        <v>14</v>
      </c>
      <c r="G194" t="s">
        <v>257</v>
      </c>
      <c r="H194">
        <v>0</v>
      </c>
      <c r="I194" t="s">
        <v>290</v>
      </c>
      <c r="J194" t="str">
        <f>IF(Table3_1[[#This Row],[Discount_applied]]=0,"No Discount","Discount Applied")</f>
        <v>No Discount</v>
      </c>
    </row>
    <row r="195" spans="1:10" x14ac:dyDescent="0.3">
      <c r="A195" t="s">
        <v>411</v>
      </c>
      <c r="B195" s="1">
        <v>45761</v>
      </c>
      <c r="C195" t="s">
        <v>251</v>
      </c>
      <c r="D195">
        <v>1</v>
      </c>
      <c r="E195">
        <v>200</v>
      </c>
      <c r="F195" t="s">
        <v>26</v>
      </c>
      <c r="G195" t="s">
        <v>27</v>
      </c>
      <c r="H195">
        <v>0</v>
      </c>
      <c r="I195" t="s">
        <v>293</v>
      </c>
      <c r="J195" t="str">
        <f>IF(Table3_1[[#This Row],[Discount_applied]]=0,"No Discount","Discount Applied")</f>
        <v>No Discount</v>
      </c>
    </row>
    <row r="196" spans="1:10" x14ac:dyDescent="0.3">
      <c r="A196" t="s">
        <v>411</v>
      </c>
      <c r="B196" s="1">
        <v>45761</v>
      </c>
      <c r="C196" t="s">
        <v>266</v>
      </c>
      <c r="D196">
        <v>2</v>
      </c>
      <c r="E196">
        <v>500</v>
      </c>
      <c r="F196" t="s">
        <v>14</v>
      </c>
      <c r="G196" t="s">
        <v>15</v>
      </c>
      <c r="H196">
        <v>15</v>
      </c>
      <c r="I196" t="s">
        <v>296</v>
      </c>
      <c r="J196" t="str">
        <f>IF(Table3_1[[#This Row],[Discount_applied]]=0,"No Discount","Discount Applied")</f>
        <v>Discount Applied</v>
      </c>
    </row>
    <row r="197" spans="1:10" x14ac:dyDescent="0.3">
      <c r="A197" t="s">
        <v>411</v>
      </c>
      <c r="B197" s="1">
        <v>45761</v>
      </c>
      <c r="C197" t="s">
        <v>269</v>
      </c>
      <c r="D197">
        <v>1</v>
      </c>
      <c r="E197">
        <v>180</v>
      </c>
      <c r="F197" t="s">
        <v>26</v>
      </c>
      <c r="G197" t="s">
        <v>27</v>
      </c>
      <c r="H197">
        <v>0</v>
      </c>
      <c r="I197" t="s">
        <v>298</v>
      </c>
      <c r="J197" t="str">
        <f>IF(Table3_1[[#This Row],[Discount_applied]]=0,"No Discount","Discount Applied")</f>
        <v>No Discount</v>
      </c>
    </row>
    <row r="198" spans="1:10" x14ac:dyDescent="0.3">
      <c r="A198" t="s">
        <v>411</v>
      </c>
      <c r="B198" s="1">
        <v>45761</v>
      </c>
      <c r="C198" t="s">
        <v>244</v>
      </c>
      <c r="D198">
        <v>3</v>
      </c>
      <c r="E198">
        <v>450</v>
      </c>
      <c r="F198" t="s">
        <v>14</v>
      </c>
      <c r="G198" t="s">
        <v>257</v>
      </c>
      <c r="H198">
        <v>20</v>
      </c>
      <c r="I198" t="s">
        <v>287</v>
      </c>
      <c r="J198" t="str">
        <f>IF(Table3_1[[#This Row],[Discount_applied]]=0,"No Discount","Discount Applied")</f>
        <v>Discount Applied</v>
      </c>
    </row>
    <row r="199" spans="1:10" x14ac:dyDescent="0.3">
      <c r="A199" t="s">
        <v>411</v>
      </c>
      <c r="B199" s="1">
        <v>45761</v>
      </c>
      <c r="C199" t="s">
        <v>272</v>
      </c>
      <c r="D199">
        <v>1</v>
      </c>
      <c r="E199">
        <v>300</v>
      </c>
      <c r="F199" t="s">
        <v>26</v>
      </c>
      <c r="G199" t="s">
        <v>15</v>
      </c>
      <c r="H199">
        <v>0</v>
      </c>
      <c r="I199" t="s">
        <v>300</v>
      </c>
      <c r="J199" t="str">
        <f>IF(Table3_1[[#This Row],[Discount_applied]]=0,"No Discount","Discount Applied")</f>
        <v>No Discount</v>
      </c>
    </row>
    <row r="200" spans="1:10" x14ac:dyDescent="0.3">
      <c r="A200" t="s">
        <v>411</v>
      </c>
      <c r="B200" s="1">
        <v>45761</v>
      </c>
      <c r="C200" t="s">
        <v>274</v>
      </c>
      <c r="D200">
        <v>2</v>
      </c>
      <c r="E200">
        <v>260</v>
      </c>
      <c r="F200" t="s">
        <v>14</v>
      </c>
      <c r="G200" t="s">
        <v>27</v>
      </c>
      <c r="H200">
        <v>0</v>
      </c>
      <c r="I200" t="s">
        <v>290</v>
      </c>
      <c r="J200" t="str">
        <f>IF(Table3_1[[#This Row],[Discount_applied]]=0,"No Discount","Discount Applied")</f>
        <v>No Discount</v>
      </c>
    </row>
    <row r="201" spans="1:10" x14ac:dyDescent="0.3">
      <c r="A201" t="s">
        <v>411</v>
      </c>
      <c r="B201" s="1">
        <v>45761</v>
      </c>
      <c r="C201" t="s">
        <v>276</v>
      </c>
      <c r="D201">
        <v>1</v>
      </c>
      <c r="E201">
        <v>350</v>
      </c>
      <c r="F201" t="s">
        <v>26</v>
      </c>
      <c r="G201" t="s">
        <v>15</v>
      </c>
      <c r="H201">
        <v>25</v>
      </c>
      <c r="I201" t="s">
        <v>293</v>
      </c>
      <c r="J201" t="str">
        <f>IF(Table3_1[[#This Row],[Discount_applied]]=0,"No Discount","Discount Applied")</f>
        <v>Discount Applied</v>
      </c>
    </row>
    <row r="202" spans="1:10" x14ac:dyDescent="0.3">
      <c r="A202" t="s">
        <v>411</v>
      </c>
      <c r="B202" s="1">
        <v>45761</v>
      </c>
      <c r="C202" t="s">
        <v>278</v>
      </c>
      <c r="D202">
        <v>3</v>
      </c>
      <c r="E202">
        <v>420</v>
      </c>
      <c r="F202" t="s">
        <v>14</v>
      </c>
      <c r="G202" t="s">
        <v>257</v>
      </c>
      <c r="H202">
        <v>0</v>
      </c>
      <c r="I202" t="s">
        <v>296</v>
      </c>
      <c r="J202" t="str">
        <f>IF(Table3_1[[#This Row],[Discount_applied]]=0,"No Discount","Discount Applied")</f>
        <v>No Discount</v>
      </c>
    </row>
    <row r="203" spans="1:10" x14ac:dyDescent="0.3">
      <c r="A203" t="s">
        <v>411</v>
      </c>
      <c r="B203" s="1">
        <v>45761</v>
      </c>
      <c r="C203" t="s">
        <v>286</v>
      </c>
      <c r="D203">
        <v>2</v>
      </c>
      <c r="E203">
        <v>500</v>
      </c>
      <c r="F203" t="s">
        <v>26</v>
      </c>
      <c r="G203" t="s">
        <v>27</v>
      </c>
      <c r="H203">
        <v>0</v>
      </c>
      <c r="I203" t="s">
        <v>298</v>
      </c>
      <c r="J203" t="str">
        <f>IF(Table3_1[[#This Row],[Discount_applied]]=0,"No Discount","Discount Applied")</f>
        <v>No Discount</v>
      </c>
    </row>
    <row r="204" spans="1:10" x14ac:dyDescent="0.3">
      <c r="A204" t="s">
        <v>411</v>
      </c>
      <c r="B204" s="1">
        <v>45761</v>
      </c>
      <c r="C204" t="s">
        <v>289</v>
      </c>
      <c r="D204">
        <v>1</v>
      </c>
      <c r="E204">
        <v>220</v>
      </c>
      <c r="F204" t="s">
        <v>14</v>
      </c>
      <c r="G204" t="s">
        <v>27</v>
      </c>
      <c r="H204">
        <v>10</v>
      </c>
      <c r="I204" t="s">
        <v>287</v>
      </c>
      <c r="J204" t="str">
        <f>IF(Table3_1[[#This Row],[Discount_applied]]=0,"No Discount","Discount Applied")</f>
        <v>Discount Applied</v>
      </c>
    </row>
    <row r="205" spans="1:10" x14ac:dyDescent="0.3">
      <c r="A205" t="s">
        <v>411</v>
      </c>
      <c r="B205" s="1">
        <v>45761</v>
      </c>
      <c r="C205" t="s">
        <v>292</v>
      </c>
      <c r="D205">
        <v>3</v>
      </c>
      <c r="E205">
        <v>180</v>
      </c>
      <c r="F205" t="s">
        <v>26</v>
      </c>
      <c r="G205" t="s">
        <v>257</v>
      </c>
      <c r="H205">
        <v>0</v>
      </c>
      <c r="I205" t="s">
        <v>300</v>
      </c>
      <c r="J205" t="str">
        <f>IF(Table3_1[[#This Row],[Discount_applied]]=0,"No Discount","Discount Applied")</f>
        <v>No Discount</v>
      </c>
    </row>
    <row r="206" spans="1:10" x14ac:dyDescent="0.3">
      <c r="A206" t="s">
        <v>411</v>
      </c>
      <c r="B206" s="1">
        <v>45761</v>
      </c>
      <c r="C206" t="s">
        <v>295</v>
      </c>
      <c r="D206">
        <v>1</v>
      </c>
      <c r="E206">
        <v>280</v>
      </c>
      <c r="F206" t="s">
        <v>14</v>
      </c>
      <c r="G206" t="s">
        <v>15</v>
      </c>
      <c r="H206">
        <v>0</v>
      </c>
      <c r="I206" t="s">
        <v>290</v>
      </c>
      <c r="J206" t="str">
        <f>IF(Table3_1[[#This Row],[Discount_applied]]=0,"No Discount","Discount Applied")</f>
        <v>No Discount</v>
      </c>
    </row>
    <row r="207" spans="1:10" x14ac:dyDescent="0.3">
      <c r="A207" t="s">
        <v>411</v>
      </c>
      <c r="B207" s="1">
        <v>45761</v>
      </c>
      <c r="C207" t="s">
        <v>266</v>
      </c>
      <c r="D207">
        <v>2</v>
      </c>
      <c r="E207">
        <v>500</v>
      </c>
      <c r="F207" t="s">
        <v>26</v>
      </c>
      <c r="G207" t="s">
        <v>15</v>
      </c>
      <c r="H207">
        <v>15</v>
      </c>
      <c r="I207" t="s">
        <v>293</v>
      </c>
      <c r="J207" t="str">
        <f>IF(Table3_1[[#This Row],[Discount_applied]]=0,"No Discount","Discount Applied")</f>
        <v>Discount Applied</v>
      </c>
    </row>
    <row r="208" spans="1:10" x14ac:dyDescent="0.3">
      <c r="A208" t="s">
        <v>411</v>
      </c>
      <c r="B208" s="1">
        <v>45761</v>
      </c>
      <c r="C208" t="s">
        <v>278</v>
      </c>
      <c r="D208">
        <v>1</v>
      </c>
      <c r="E208">
        <v>160</v>
      </c>
      <c r="F208" t="s">
        <v>14</v>
      </c>
      <c r="G208" t="s">
        <v>257</v>
      </c>
      <c r="H208">
        <v>0</v>
      </c>
      <c r="I208" t="s">
        <v>296</v>
      </c>
      <c r="J208" t="str">
        <f>IF(Table3_1[[#This Row],[Discount_applied]]=0,"No Discount","Discount Applied")</f>
        <v>No Discount</v>
      </c>
    </row>
    <row r="209" spans="1:10" x14ac:dyDescent="0.3">
      <c r="A209" t="s">
        <v>411</v>
      </c>
      <c r="B209" s="1">
        <v>45761</v>
      </c>
      <c r="C209" t="s">
        <v>302</v>
      </c>
      <c r="D209">
        <v>1</v>
      </c>
      <c r="E209">
        <v>380</v>
      </c>
      <c r="F209" t="s">
        <v>26</v>
      </c>
      <c r="G209" t="s">
        <v>27</v>
      </c>
      <c r="H209">
        <v>0</v>
      </c>
      <c r="I209" t="s">
        <v>298</v>
      </c>
      <c r="J209" t="str">
        <f>IF(Table3_1[[#This Row],[Discount_applied]]=0,"No Discount","Discount Applied")</f>
        <v>No Discount</v>
      </c>
    </row>
    <row r="210" spans="1:10" x14ac:dyDescent="0.3">
      <c r="A210" t="s">
        <v>411</v>
      </c>
      <c r="B210" s="1">
        <v>45761</v>
      </c>
      <c r="C210" t="s">
        <v>269</v>
      </c>
      <c r="D210">
        <v>2</v>
      </c>
      <c r="E210">
        <v>200</v>
      </c>
      <c r="F210" t="s">
        <v>14</v>
      </c>
      <c r="G210" t="s">
        <v>27</v>
      </c>
      <c r="H210">
        <v>10</v>
      </c>
      <c r="I210" t="s">
        <v>287</v>
      </c>
      <c r="J210" t="str">
        <f>IF(Table3_1[[#This Row],[Discount_applied]]=0,"No Discount","Discount Applied")</f>
        <v>Discount Applied</v>
      </c>
    </row>
    <row r="211" spans="1:10" x14ac:dyDescent="0.3">
      <c r="A211" t="s">
        <v>411</v>
      </c>
      <c r="B211" s="1">
        <v>45761</v>
      </c>
      <c r="C211" t="s">
        <v>305</v>
      </c>
      <c r="D211">
        <v>1</v>
      </c>
      <c r="E211">
        <v>140</v>
      </c>
      <c r="F211" t="s">
        <v>26</v>
      </c>
      <c r="G211" t="s">
        <v>15</v>
      </c>
      <c r="H211">
        <v>0</v>
      </c>
      <c r="I211" t="s">
        <v>300</v>
      </c>
      <c r="J211" t="str">
        <f>IF(Table3_1[[#This Row],[Discount_applied]]=0,"No Discount","Discount Applied")</f>
        <v>No Discount</v>
      </c>
    </row>
    <row r="212" spans="1:10" x14ac:dyDescent="0.3">
      <c r="A212" t="s">
        <v>411</v>
      </c>
      <c r="B212" s="1">
        <v>45761</v>
      </c>
      <c r="C212" t="s">
        <v>307</v>
      </c>
      <c r="D212">
        <v>4</v>
      </c>
      <c r="E212">
        <v>100</v>
      </c>
      <c r="F212" t="s">
        <v>14</v>
      </c>
      <c r="G212" t="s">
        <v>27</v>
      </c>
      <c r="H212">
        <v>0</v>
      </c>
      <c r="I212" t="s">
        <v>290</v>
      </c>
      <c r="J212" t="str">
        <f>IF(Table3_1[[#This Row],[Discount_applied]]=0,"No Discount","Discount Applied")</f>
        <v>No Discount</v>
      </c>
    </row>
    <row r="213" spans="1:10" x14ac:dyDescent="0.3">
      <c r="A213" t="s">
        <v>411</v>
      </c>
      <c r="B213" s="1">
        <v>45761</v>
      </c>
      <c r="C213" t="s">
        <v>295</v>
      </c>
      <c r="D213">
        <v>1</v>
      </c>
      <c r="E213">
        <v>280</v>
      </c>
      <c r="F213" t="s">
        <v>14</v>
      </c>
      <c r="G213" t="s">
        <v>27</v>
      </c>
      <c r="H213">
        <v>20</v>
      </c>
      <c r="I213" t="s">
        <v>287</v>
      </c>
      <c r="J213" t="str">
        <f>IF(Table3_1[[#This Row],[Discount_applied]]=0,"No Discount","Discount Applied")</f>
        <v>Discount Applied</v>
      </c>
    </row>
    <row r="214" spans="1:10" x14ac:dyDescent="0.3">
      <c r="A214" t="s">
        <v>411</v>
      </c>
      <c r="B214" s="1">
        <v>45761</v>
      </c>
      <c r="C214" t="s">
        <v>286</v>
      </c>
      <c r="D214">
        <v>2</v>
      </c>
      <c r="E214">
        <v>500</v>
      </c>
      <c r="F214" t="s">
        <v>26</v>
      </c>
      <c r="G214" t="s">
        <v>15</v>
      </c>
      <c r="H214">
        <v>0</v>
      </c>
      <c r="I214" t="s">
        <v>290</v>
      </c>
      <c r="J214" t="str">
        <f>IF(Table3_1[[#This Row],[Discount_applied]]=0,"No Discount","Discount Applied")</f>
        <v>No Discount</v>
      </c>
    </row>
    <row r="215" spans="1:10" x14ac:dyDescent="0.3">
      <c r="A215" t="s">
        <v>411</v>
      </c>
      <c r="B215" s="1">
        <v>45761</v>
      </c>
      <c r="C215" t="s">
        <v>289</v>
      </c>
      <c r="D215">
        <v>1</v>
      </c>
      <c r="E215">
        <v>220</v>
      </c>
      <c r="F215" t="s">
        <v>14</v>
      </c>
      <c r="G215" t="s">
        <v>257</v>
      </c>
      <c r="H215">
        <v>0</v>
      </c>
      <c r="I215" t="s">
        <v>293</v>
      </c>
      <c r="J215" t="str">
        <f>IF(Table3_1[[#This Row],[Discount_applied]]=0,"No Discount","Discount Applied")</f>
        <v>No Discount</v>
      </c>
    </row>
    <row r="216" spans="1:10" x14ac:dyDescent="0.3">
      <c r="A216" t="s">
        <v>411</v>
      </c>
      <c r="B216" s="1">
        <v>45761</v>
      </c>
      <c r="C216" t="s">
        <v>292</v>
      </c>
      <c r="D216">
        <v>3</v>
      </c>
      <c r="E216">
        <v>180</v>
      </c>
      <c r="F216" t="s">
        <v>26</v>
      </c>
      <c r="G216" t="s">
        <v>27</v>
      </c>
      <c r="H216">
        <v>0</v>
      </c>
      <c r="I216" t="s">
        <v>296</v>
      </c>
      <c r="J216" t="str">
        <f>IF(Table3_1[[#This Row],[Discount_applied]]=0,"No Discount","Discount Applied")</f>
        <v>No Discount</v>
      </c>
    </row>
    <row r="217" spans="1:10" x14ac:dyDescent="0.3">
      <c r="A217" t="s">
        <v>411</v>
      </c>
      <c r="B217" s="1">
        <v>45761</v>
      </c>
      <c r="C217" t="s">
        <v>295</v>
      </c>
      <c r="D217">
        <v>1</v>
      </c>
      <c r="E217">
        <v>280</v>
      </c>
      <c r="F217" t="s">
        <v>14</v>
      </c>
      <c r="G217" t="s">
        <v>15</v>
      </c>
      <c r="H217">
        <v>10</v>
      </c>
      <c r="I217" t="s">
        <v>298</v>
      </c>
      <c r="J217" t="str">
        <f>IF(Table3_1[[#This Row],[Discount_applied]]=0,"No Discount","Discount Applied")</f>
        <v>Discount Applied</v>
      </c>
    </row>
    <row r="218" spans="1:10" x14ac:dyDescent="0.3">
      <c r="A218" t="s">
        <v>411</v>
      </c>
      <c r="B218" s="1">
        <v>45761</v>
      </c>
      <c r="C218" t="s">
        <v>266</v>
      </c>
      <c r="D218">
        <v>2</v>
      </c>
      <c r="E218">
        <v>500</v>
      </c>
      <c r="F218" t="s">
        <v>26</v>
      </c>
      <c r="G218" t="s">
        <v>27</v>
      </c>
      <c r="H218">
        <v>0</v>
      </c>
      <c r="I218" t="s">
        <v>300</v>
      </c>
      <c r="J218" t="str">
        <f>IF(Table3_1[[#This Row],[Discount_applied]]=0,"No Discount","Discount Applied")</f>
        <v>No Discount</v>
      </c>
    </row>
    <row r="219" spans="1:10" x14ac:dyDescent="0.3">
      <c r="A219" t="s">
        <v>411</v>
      </c>
      <c r="B219" s="1">
        <v>45761</v>
      </c>
      <c r="C219" t="s">
        <v>278</v>
      </c>
      <c r="D219">
        <v>1</v>
      </c>
      <c r="E219">
        <v>160</v>
      </c>
      <c r="F219" t="s">
        <v>14</v>
      </c>
      <c r="G219" t="s">
        <v>257</v>
      </c>
      <c r="H219">
        <v>15</v>
      </c>
      <c r="I219" t="s">
        <v>287</v>
      </c>
      <c r="J219" t="str">
        <f>IF(Table3_1[[#This Row],[Discount_applied]]=0,"No Discount","Discount Applied")</f>
        <v>Discount Applied</v>
      </c>
    </row>
    <row r="220" spans="1:10" x14ac:dyDescent="0.3">
      <c r="A220" t="s">
        <v>411</v>
      </c>
      <c r="B220" s="1">
        <v>45761</v>
      </c>
      <c r="C220" t="s">
        <v>302</v>
      </c>
      <c r="D220">
        <v>1</v>
      </c>
      <c r="E220">
        <v>380</v>
      </c>
      <c r="F220" t="s">
        <v>26</v>
      </c>
      <c r="G220" t="s">
        <v>15</v>
      </c>
      <c r="H220">
        <v>0</v>
      </c>
      <c r="I220" t="s">
        <v>290</v>
      </c>
      <c r="J220" t="str">
        <f>IF(Table3_1[[#This Row],[Discount_applied]]=0,"No Discount","Discount Applied")</f>
        <v>No Discount</v>
      </c>
    </row>
    <row r="221" spans="1:10" x14ac:dyDescent="0.3">
      <c r="A221" t="s">
        <v>411</v>
      </c>
      <c r="B221" s="1">
        <v>45761</v>
      </c>
      <c r="C221" t="s">
        <v>269</v>
      </c>
      <c r="D221">
        <v>2</v>
      </c>
      <c r="E221">
        <v>200</v>
      </c>
      <c r="F221" t="s">
        <v>14</v>
      </c>
      <c r="G221" t="s">
        <v>27</v>
      </c>
      <c r="H221">
        <v>0</v>
      </c>
      <c r="I221" t="s">
        <v>293</v>
      </c>
      <c r="J221" t="str">
        <f>IF(Table3_1[[#This Row],[Discount_applied]]=0,"No Discount","Discount Applied")</f>
        <v>No Discount</v>
      </c>
    </row>
    <row r="222" spans="1:10" x14ac:dyDescent="0.3">
      <c r="A222" t="s">
        <v>411</v>
      </c>
      <c r="B222" s="1">
        <v>45761</v>
      </c>
      <c r="C222" t="s">
        <v>305</v>
      </c>
      <c r="D222">
        <v>1</v>
      </c>
      <c r="E222">
        <v>140</v>
      </c>
      <c r="F222" t="s">
        <v>26</v>
      </c>
      <c r="G222" t="s">
        <v>27</v>
      </c>
      <c r="H222">
        <v>20</v>
      </c>
      <c r="I222" t="s">
        <v>296</v>
      </c>
      <c r="J222" t="str">
        <f>IF(Table3_1[[#This Row],[Discount_applied]]=0,"No Discount","Discount Applied")</f>
        <v>Discount Applied</v>
      </c>
    </row>
    <row r="223" spans="1:10" x14ac:dyDescent="0.3">
      <c r="A223" t="s">
        <v>411</v>
      </c>
      <c r="B223" s="1">
        <v>45761</v>
      </c>
      <c r="C223" t="s">
        <v>307</v>
      </c>
      <c r="D223">
        <v>4</v>
      </c>
      <c r="E223">
        <v>100</v>
      </c>
      <c r="F223" t="s">
        <v>14</v>
      </c>
      <c r="G223" t="s">
        <v>257</v>
      </c>
      <c r="H223">
        <v>0</v>
      </c>
      <c r="I223" t="s">
        <v>298</v>
      </c>
      <c r="J223" t="str">
        <f>IF(Table3_1[[#This Row],[Discount_applied]]=0,"No Discount","Discount Applied")</f>
        <v>No Discount</v>
      </c>
    </row>
    <row r="224" spans="1:10" x14ac:dyDescent="0.3">
      <c r="A224" t="s">
        <v>411</v>
      </c>
      <c r="B224" s="1">
        <v>45761</v>
      </c>
      <c r="C224" t="s">
        <v>309</v>
      </c>
      <c r="D224">
        <v>2</v>
      </c>
      <c r="E224">
        <v>320</v>
      </c>
      <c r="F224" t="s">
        <v>26</v>
      </c>
      <c r="G224" t="s">
        <v>15</v>
      </c>
      <c r="H224">
        <v>0</v>
      </c>
      <c r="I224" t="s">
        <v>287</v>
      </c>
      <c r="J224" t="str">
        <f>IF(Table3_1[[#This Row],[Discount_applied]]=0,"No Discount","Discount Applied")</f>
        <v>No Discount</v>
      </c>
    </row>
    <row r="225" spans="1:10" x14ac:dyDescent="0.3">
      <c r="A225" t="s">
        <v>411</v>
      </c>
      <c r="B225" s="1">
        <v>45761</v>
      </c>
      <c r="C225" t="s">
        <v>272</v>
      </c>
      <c r="D225">
        <v>1</v>
      </c>
      <c r="E225">
        <v>350</v>
      </c>
      <c r="F225" t="s">
        <v>14</v>
      </c>
      <c r="G225" t="s">
        <v>27</v>
      </c>
      <c r="H225">
        <v>25</v>
      </c>
      <c r="I225" t="s">
        <v>300</v>
      </c>
      <c r="J225" t="str">
        <f>IF(Table3_1[[#This Row],[Discount_applied]]=0,"No Discount","Discount Applied")</f>
        <v>Discount Applied</v>
      </c>
    </row>
    <row r="226" spans="1:10" x14ac:dyDescent="0.3">
      <c r="A226" t="s">
        <v>411</v>
      </c>
      <c r="B226" s="1">
        <v>45761</v>
      </c>
      <c r="C226" t="s">
        <v>312</v>
      </c>
      <c r="D226">
        <v>2</v>
      </c>
      <c r="E226">
        <v>240</v>
      </c>
      <c r="F226" t="s">
        <v>26</v>
      </c>
      <c r="G226" t="s">
        <v>27</v>
      </c>
      <c r="H226">
        <v>0</v>
      </c>
      <c r="I226" t="s">
        <v>290</v>
      </c>
      <c r="J226" t="str">
        <f>IF(Table3_1[[#This Row],[Discount_applied]]=0,"No Discount","Discount Applied")</f>
        <v>No Discount</v>
      </c>
    </row>
    <row r="227" spans="1:10" x14ac:dyDescent="0.3">
      <c r="A227" t="s">
        <v>411</v>
      </c>
      <c r="B227" s="1">
        <v>45761</v>
      </c>
      <c r="C227" t="s">
        <v>314</v>
      </c>
      <c r="D227">
        <v>1</v>
      </c>
      <c r="E227">
        <v>300</v>
      </c>
      <c r="F227" t="s">
        <v>14</v>
      </c>
      <c r="G227" t="s">
        <v>15</v>
      </c>
      <c r="H227">
        <v>0</v>
      </c>
      <c r="I227" t="s">
        <v>293</v>
      </c>
      <c r="J227" t="str">
        <f>IF(Table3_1[[#This Row],[Discount_applied]]=0,"No Discount","Discount Applied")</f>
        <v>No Discount</v>
      </c>
    </row>
    <row r="228" spans="1:10" x14ac:dyDescent="0.3">
      <c r="A228" t="s">
        <v>411</v>
      </c>
      <c r="B228" s="1">
        <v>45761</v>
      </c>
      <c r="C228" t="s">
        <v>256</v>
      </c>
      <c r="D228">
        <v>3</v>
      </c>
      <c r="E228">
        <v>150</v>
      </c>
      <c r="F228" t="s">
        <v>26</v>
      </c>
      <c r="G228" t="s">
        <v>27</v>
      </c>
      <c r="H228">
        <v>10</v>
      </c>
      <c r="I228" t="s">
        <v>296</v>
      </c>
      <c r="J228" t="str">
        <f>IF(Table3_1[[#This Row],[Discount_applied]]=0,"No Discount","Discount Applied")</f>
        <v>Discount Applied</v>
      </c>
    </row>
    <row r="229" spans="1:10" x14ac:dyDescent="0.3">
      <c r="A229" t="s">
        <v>411</v>
      </c>
      <c r="B229" s="1">
        <v>45761</v>
      </c>
      <c r="C229" t="s">
        <v>251</v>
      </c>
      <c r="D229">
        <v>2</v>
      </c>
      <c r="E229">
        <v>400</v>
      </c>
      <c r="F229" t="s">
        <v>14</v>
      </c>
      <c r="G229" t="s">
        <v>257</v>
      </c>
      <c r="H229">
        <v>0</v>
      </c>
      <c r="I229" t="s">
        <v>298</v>
      </c>
      <c r="J229" t="str">
        <f>IF(Table3_1[[#This Row],[Discount_applied]]=0,"No Discount","Discount Applied")</f>
        <v>No Discount</v>
      </c>
    </row>
    <row r="230" spans="1:10" x14ac:dyDescent="0.3">
      <c r="A230" t="s">
        <v>411</v>
      </c>
      <c r="B230" s="1">
        <v>45761</v>
      </c>
      <c r="C230" t="s">
        <v>318</v>
      </c>
      <c r="D230">
        <v>1</v>
      </c>
      <c r="E230">
        <v>250</v>
      </c>
      <c r="F230" t="s">
        <v>26</v>
      </c>
      <c r="G230" t="s">
        <v>15</v>
      </c>
      <c r="H230">
        <v>0</v>
      </c>
      <c r="I230" t="s">
        <v>287</v>
      </c>
      <c r="J230" t="str">
        <f>IF(Table3_1[[#This Row],[Discount_applied]]=0,"No Discount","Discount Applied")</f>
        <v>No Discount</v>
      </c>
    </row>
    <row r="231" spans="1:10" x14ac:dyDescent="0.3">
      <c r="A231" t="s">
        <v>411</v>
      </c>
      <c r="B231" s="1">
        <v>45761</v>
      </c>
      <c r="C231" t="s">
        <v>280</v>
      </c>
      <c r="D231">
        <v>1</v>
      </c>
      <c r="E231">
        <v>150</v>
      </c>
      <c r="F231" t="s">
        <v>14</v>
      </c>
      <c r="G231" t="s">
        <v>27</v>
      </c>
      <c r="H231">
        <v>15</v>
      </c>
      <c r="I231" t="s">
        <v>300</v>
      </c>
      <c r="J231" t="str">
        <f>IF(Table3_1[[#This Row],[Discount_applied]]=0,"No Discount","Discount Applied")</f>
        <v>Discount Applied</v>
      </c>
    </row>
    <row r="232" spans="1:10" x14ac:dyDescent="0.3">
      <c r="A232" t="s">
        <v>411</v>
      </c>
      <c r="B232" s="1">
        <v>45761</v>
      </c>
      <c r="C232" t="s">
        <v>244</v>
      </c>
      <c r="D232">
        <v>2</v>
      </c>
      <c r="E232">
        <v>300</v>
      </c>
      <c r="F232" t="s">
        <v>26</v>
      </c>
      <c r="G232" t="s">
        <v>27</v>
      </c>
      <c r="H232">
        <v>0</v>
      </c>
      <c r="I232" t="s">
        <v>290</v>
      </c>
      <c r="J232" t="str">
        <f>IF(Table3_1[[#This Row],[Discount_applied]]=0,"No Discount","Discount Applied")</f>
        <v>No Discount</v>
      </c>
    </row>
    <row r="233" spans="1:10" x14ac:dyDescent="0.3">
      <c r="A233" t="s">
        <v>411</v>
      </c>
      <c r="B233" s="1">
        <v>45761</v>
      </c>
      <c r="C233" t="s">
        <v>322</v>
      </c>
      <c r="D233">
        <v>3</v>
      </c>
      <c r="E233">
        <v>180</v>
      </c>
      <c r="F233" t="s">
        <v>14</v>
      </c>
      <c r="G233" t="s">
        <v>15</v>
      </c>
      <c r="H233">
        <v>0</v>
      </c>
      <c r="I233" t="s">
        <v>293</v>
      </c>
      <c r="J233" t="str">
        <f>IF(Table3_1[[#This Row],[Discount_applied]]=0,"No Discount","Discount Applied")</f>
        <v>No Discount</v>
      </c>
    </row>
    <row r="234" spans="1:10" x14ac:dyDescent="0.3">
      <c r="A234" t="s">
        <v>411</v>
      </c>
      <c r="B234" s="1">
        <v>45761</v>
      </c>
      <c r="C234" t="s">
        <v>324</v>
      </c>
      <c r="D234">
        <v>2</v>
      </c>
      <c r="E234">
        <v>90</v>
      </c>
      <c r="F234" t="s">
        <v>26</v>
      </c>
      <c r="G234" t="s">
        <v>27</v>
      </c>
      <c r="H234">
        <v>20</v>
      </c>
      <c r="I234" t="s">
        <v>296</v>
      </c>
      <c r="J234" t="str">
        <f>IF(Table3_1[[#This Row],[Discount_applied]]=0,"No Discount","Discount Applied")</f>
        <v>Discount Applied</v>
      </c>
    </row>
    <row r="235" spans="1:10" x14ac:dyDescent="0.3">
      <c r="A235" t="s">
        <v>411</v>
      </c>
      <c r="B235" s="1">
        <v>45761</v>
      </c>
      <c r="C235" t="s">
        <v>326</v>
      </c>
      <c r="D235">
        <v>1</v>
      </c>
      <c r="E235">
        <v>320</v>
      </c>
      <c r="F235" t="s">
        <v>14</v>
      </c>
      <c r="G235" t="s">
        <v>257</v>
      </c>
      <c r="H235">
        <v>0</v>
      </c>
      <c r="I235" t="s">
        <v>298</v>
      </c>
      <c r="J235" t="str">
        <f>IF(Table3_1[[#This Row],[Discount_applied]]=0,"No Discount","Discount Applied")</f>
        <v>No Discount</v>
      </c>
    </row>
    <row r="236" spans="1:10" x14ac:dyDescent="0.3">
      <c r="A236" t="s">
        <v>411</v>
      </c>
      <c r="B236" s="1">
        <v>45761</v>
      </c>
      <c r="C236" t="s">
        <v>328</v>
      </c>
      <c r="D236">
        <v>3</v>
      </c>
      <c r="E236">
        <v>120</v>
      </c>
      <c r="F236" t="s">
        <v>26</v>
      </c>
      <c r="G236" t="s">
        <v>27</v>
      </c>
      <c r="H236">
        <v>0</v>
      </c>
      <c r="I236" t="s">
        <v>287</v>
      </c>
      <c r="J236" t="str">
        <f>IF(Table3_1[[#This Row],[Discount_applied]]=0,"No Discount","Discount Applied")</f>
        <v>No Discount</v>
      </c>
    </row>
    <row r="237" spans="1:10" x14ac:dyDescent="0.3">
      <c r="A237" t="s">
        <v>411</v>
      </c>
      <c r="B237" s="1">
        <v>45761</v>
      </c>
      <c r="C237" t="s">
        <v>283</v>
      </c>
      <c r="D237">
        <v>1</v>
      </c>
      <c r="E237">
        <v>450</v>
      </c>
      <c r="F237" t="s">
        <v>14</v>
      </c>
      <c r="G237" t="s">
        <v>15</v>
      </c>
      <c r="H237">
        <v>10</v>
      </c>
      <c r="I237" t="s">
        <v>300</v>
      </c>
      <c r="J237" t="str">
        <f>IF(Table3_1[[#This Row],[Discount_applied]]=0,"No Discount","Discount Applied")</f>
        <v>Discount Applied</v>
      </c>
    </row>
    <row r="238" spans="1:10" x14ac:dyDescent="0.3">
      <c r="A238" t="s">
        <v>411</v>
      </c>
      <c r="B238" s="1">
        <v>45761</v>
      </c>
      <c r="C238" t="s">
        <v>331</v>
      </c>
      <c r="D238">
        <v>2</v>
      </c>
      <c r="E238">
        <v>260</v>
      </c>
      <c r="F238" t="s">
        <v>26</v>
      </c>
      <c r="G238" t="s">
        <v>15</v>
      </c>
      <c r="H238">
        <v>0</v>
      </c>
      <c r="I238" t="s">
        <v>290</v>
      </c>
      <c r="J238" t="str">
        <f>IF(Table3_1[[#This Row],[Discount_applied]]=0,"No Discount","Discount Applied")</f>
        <v>No Discount</v>
      </c>
    </row>
    <row r="239" spans="1:10" x14ac:dyDescent="0.3">
      <c r="A239" t="s">
        <v>411</v>
      </c>
      <c r="B239" s="1">
        <v>45761</v>
      </c>
      <c r="C239" t="s">
        <v>333</v>
      </c>
      <c r="D239">
        <v>3</v>
      </c>
      <c r="E239">
        <v>300</v>
      </c>
      <c r="F239" t="s">
        <v>14</v>
      </c>
      <c r="G239" t="s">
        <v>257</v>
      </c>
      <c r="H239">
        <v>0</v>
      </c>
      <c r="I239" t="s">
        <v>293</v>
      </c>
      <c r="J239" t="str">
        <f>IF(Table3_1[[#This Row],[Discount_applied]]=0,"No Discount","Discount Applied")</f>
        <v>No Discount</v>
      </c>
    </row>
    <row r="240" spans="1:10" x14ac:dyDescent="0.3">
      <c r="A240" t="s">
        <v>411</v>
      </c>
      <c r="B240" s="1">
        <v>45761</v>
      </c>
      <c r="C240" t="s">
        <v>335</v>
      </c>
      <c r="D240">
        <v>1</v>
      </c>
      <c r="E240">
        <v>200</v>
      </c>
      <c r="F240" t="s">
        <v>26</v>
      </c>
      <c r="G240" t="s">
        <v>27</v>
      </c>
      <c r="H240">
        <v>25</v>
      </c>
      <c r="I240" t="s">
        <v>296</v>
      </c>
      <c r="J240" t="str">
        <f>IF(Table3_1[[#This Row],[Discount_applied]]=0,"No Discount","Discount Applied")</f>
        <v>Discount Applied</v>
      </c>
    </row>
    <row r="241" spans="1:10" x14ac:dyDescent="0.3">
      <c r="A241" t="s">
        <v>411</v>
      </c>
      <c r="B241" s="1">
        <v>45761</v>
      </c>
      <c r="C241" t="s">
        <v>337</v>
      </c>
      <c r="D241">
        <v>2</v>
      </c>
      <c r="E241">
        <v>240</v>
      </c>
      <c r="F241" t="s">
        <v>14</v>
      </c>
      <c r="G241" t="s">
        <v>27</v>
      </c>
      <c r="H241">
        <v>0</v>
      </c>
      <c r="I241" t="s">
        <v>298</v>
      </c>
      <c r="J241" t="str">
        <f>IF(Table3_1[[#This Row],[Discount_applied]]=0,"No Discount","Discount Applied")</f>
        <v>No Discount</v>
      </c>
    </row>
    <row r="242" spans="1:10" x14ac:dyDescent="0.3">
      <c r="A242" t="s">
        <v>411</v>
      </c>
      <c r="B242" s="1">
        <v>45761</v>
      </c>
      <c r="C242" t="s">
        <v>339</v>
      </c>
      <c r="D242">
        <v>1</v>
      </c>
      <c r="E242">
        <v>320</v>
      </c>
      <c r="F242" t="s">
        <v>26</v>
      </c>
      <c r="G242" t="s">
        <v>15</v>
      </c>
      <c r="H242">
        <v>0</v>
      </c>
      <c r="I242" t="s">
        <v>287</v>
      </c>
      <c r="J242" t="str">
        <f>IF(Table3_1[[#This Row],[Discount_applied]]=0,"No Discount","Discount Applied")</f>
        <v>No Discount</v>
      </c>
    </row>
    <row r="243" spans="1:10" x14ac:dyDescent="0.3">
      <c r="A243" t="s">
        <v>411</v>
      </c>
      <c r="B243" s="1">
        <v>45761</v>
      </c>
      <c r="C243" t="s">
        <v>256</v>
      </c>
      <c r="D243">
        <v>4</v>
      </c>
      <c r="E243">
        <v>200</v>
      </c>
      <c r="F243" t="s">
        <v>14</v>
      </c>
      <c r="G243" t="s">
        <v>27</v>
      </c>
      <c r="H243">
        <v>0</v>
      </c>
      <c r="I243" t="s">
        <v>300</v>
      </c>
      <c r="J243" t="str">
        <f>IF(Table3_1[[#This Row],[Discount_applied]]=0,"No Discount","Discount Applied")</f>
        <v>No Discount</v>
      </c>
    </row>
    <row r="244" spans="1:10" x14ac:dyDescent="0.3">
      <c r="A244" t="s">
        <v>411</v>
      </c>
      <c r="B244" s="1">
        <v>45761</v>
      </c>
      <c r="C244" t="s">
        <v>260</v>
      </c>
      <c r="D244">
        <v>1</v>
      </c>
      <c r="E244">
        <v>250</v>
      </c>
      <c r="F244" t="s">
        <v>26</v>
      </c>
      <c r="G244" t="s">
        <v>257</v>
      </c>
      <c r="H244">
        <v>15</v>
      </c>
      <c r="I244" t="s">
        <v>290</v>
      </c>
      <c r="J244" t="str">
        <f>IF(Table3_1[[#This Row],[Discount_applied]]=0,"No Discount","Discount Applied")</f>
        <v>Discount Applied</v>
      </c>
    </row>
    <row r="245" spans="1:10" x14ac:dyDescent="0.3">
      <c r="A245" t="s">
        <v>411</v>
      </c>
      <c r="B245" s="1">
        <v>45761</v>
      </c>
      <c r="C245" t="s">
        <v>263</v>
      </c>
      <c r="D245">
        <v>2</v>
      </c>
      <c r="E245">
        <v>180</v>
      </c>
      <c r="F245" t="s">
        <v>14</v>
      </c>
      <c r="G245" t="s">
        <v>27</v>
      </c>
      <c r="H245">
        <v>0</v>
      </c>
      <c r="I245" t="s">
        <v>293</v>
      </c>
      <c r="J245" t="str">
        <f>IF(Table3_1[[#This Row],[Discount_applied]]=0,"No Discount","Discount Applied")</f>
        <v>No Discount</v>
      </c>
    </row>
    <row r="246" spans="1:10" x14ac:dyDescent="0.3">
      <c r="A246" t="s">
        <v>411</v>
      </c>
      <c r="B246" s="1">
        <v>45761</v>
      </c>
      <c r="C246" t="s">
        <v>251</v>
      </c>
      <c r="D246">
        <v>1</v>
      </c>
      <c r="E246">
        <v>200</v>
      </c>
      <c r="F246" t="s">
        <v>26</v>
      </c>
      <c r="G246" t="s">
        <v>15</v>
      </c>
      <c r="H246">
        <v>0</v>
      </c>
      <c r="I246" t="s">
        <v>296</v>
      </c>
      <c r="J246" t="str">
        <f>IF(Table3_1[[#This Row],[Discount_applied]]=0,"No Discount","Discount Applied")</f>
        <v>No Discount</v>
      </c>
    </row>
    <row r="247" spans="1:10" x14ac:dyDescent="0.3">
      <c r="A247" t="s">
        <v>411</v>
      </c>
      <c r="B247" s="1">
        <v>45761</v>
      </c>
      <c r="C247" t="s">
        <v>266</v>
      </c>
      <c r="D247">
        <v>2</v>
      </c>
      <c r="E247">
        <v>500</v>
      </c>
      <c r="F247" t="s">
        <v>14</v>
      </c>
      <c r="G247" t="s">
        <v>27</v>
      </c>
      <c r="H247">
        <v>30</v>
      </c>
      <c r="I247" t="s">
        <v>298</v>
      </c>
      <c r="J247" t="str">
        <f>IF(Table3_1[[#This Row],[Discount_applied]]=0,"No Discount","Discount Applied")</f>
        <v>Discount Applied</v>
      </c>
    </row>
    <row r="248" spans="1:10" x14ac:dyDescent="0.3">
      <c r="A248" t="s">
        <v>411</v>
      </c>
      <c r="B248" s="1">
        <v>45761</v>
      </c>
      <c r="C248" t="s">
        <v>269</v>
      </c>
      <c r="D248">
        <v>1</v>
      </c>
      <c r="E248">
        <v>180</v>
      </c>
      <c r="F248" t="s">
        <v>26</v>
      </c>
      <c r="G248" t="s">
        <v>27</v>
      </c>
      <c r="H248">
        <v>0</v>
      </c>
      <c r="I248" t="s">
        <v>287</v>
      </c>
      <c r="J248" t="str">
        <f>IF(Table3_1[[#This Row],[Discount_applied]]=0,"No Discount","Discount Applied")</f>
        <v>No Discount</v>
      </c>
    </row>
    <row r="249" spans="1:10" x14ac:dyDescent="0.3">
      <c r="A249" t="s">
        <v>411</v>
      </c>
      <c r="B249" s="1">
        <v>45761</v>
      </c>
      <c r="C249" t="s">
        <v>244</v>
      </c>
      <c r="D249">
        <v>3</v>
      </c>
      <c r="E249">
        <v>450</v>
      </c>
      <c r="F249" t="s">
        <v>14</v>
      </c>
      <c r="G249" t="s">
        <v>257</v>
      </c>
      <c r="H249">
        <v>0</v>
      </c>
      <c r="I249" t="s">
        <v>300</v>
      </c>
      <c r="J249" t="str">
        <f>IF(Table3_1[[#This Row],[Discount_applied]]=0,"No Discount","Discount Applied")</f>
        <v>No Discount</v>
      </c>
    </row>
    <row r="250" spans="1:10" x14ac:dyDescent="0.3">
      <c r="A250" t="s">
        <v>411</v>
      </c>
      <c r="B250" s="1">
        <v>45761</v>
      </c>
      <c r="C250" t="s">
        <v>272</v>
      </c>
      <c r="D250">
        <v>1</v>
      </c>
      <c r="E250">
        <v>300</v>
      </c>
      <c r="F250" t="s">
        <v>26</v>
      </c>
      <c r="G250" t="s">
        <v>15</v>
      </c>
      <c r="H250">
        <v>10</v>
      </c>
      <c r="I250" t="s">
        <v>290</v>
      </c>
      <c r="J250" t="str">
        <f>IF(Table3_1[[#This Row],[Discount_applied]]=0,"No Discount","Discount Applied")</f>
        <v>Discount Applied</v>
      </c>
    </row>
    <row r="251" spans="1:10" x14ac:dyDescent="0.3">
      <c r="A251" t="s">
        <v>411</v>
      </c>
      <c r="B251" s="1">
        <v>45761</v>
      </c>
      <c r="C251" t="s">
        <v>274</v>
      </c>
      <c r="D251">
        <v>2</v>
      </c>
      <c r="E251">
        <v>260</v>
      </c>
      <c r="F251" t="s">
        <v>14</v>
      </c>
      <c r="G251" t="s">
        <v>15</v>
      </c>
      <c r="H251">
        <v>0</v>
      </c>
      <c r="I251" t="s">
        <v>293</v>
      </c>
      <c r="J251" t="str">
        <f>IF(Table3_1[[#This Row],[Discount_applied]]=0,"No Discount","Discount Applied")</f>
        <v>No Discount</v>
      </c>
    </row>
    <row r="252" spans="1:10" x14ac:dyDescent="0.3">
      <c r="A252" t="s">
        <v>411</v>
      </c>
      <c r="B252" s="1">
        <v>45761</v>
      </c>
      <c r="C252" t="s">
        <v>276</v>
      </c>
      <c r="D252">
        <v>1</v>
      </c>
      <c r="E252">
        <v>350</v>
      </c>
      <c r="F252" t="s">
        <v>26</v>
      </c>
      <c r="G252" t="s">
        <v>27</v>
      </c>
      <c r="H252">
        <v>0</v>
      </c>
      <c r="I252" t="s">
        <v>296</v>
      </c>
      <c r="J252" t="str">
        <f>IF(Table3_1[[#This Row],[Discount_applied]]=0,"No Discount","Discount Applied")</f>
        <v>No Discount</v>
      </c>
    </row>
    <row r="253" spans="1:10" x14ac:dyDescent="0.3">
      <c r="A253" t="s">
        <v>411</v>
      </c>
      <c r="B253" s="1">
        <v>45761</v>
      </c>
      <c r="C253" t="s">
        <v>278</v>
      </c>
      <c r="D253">
        <v>3</v>
      </c>
      <c r="E253">
        <v>420</v>
      </c>
      <c r="F253" t="s">
        <v>14</v>
      </c>
      <c r="G253" t="s">
        <v>257</v>
      </c>
      <c r="H253">
        <v>20</v>
      </c>
      <c r="I253" t="s">
        <v>298</v>
      </c>
      <c r="J253" t="str">
        <f>IF(Table3_1[[#This Row],[Discount_applied]]=0,"No Discount","Discount Applied")</f>
        <v>Discount Applied</v>
      </c>
    </row>
    <row r="254" spans="1:10" x14ac:dyDescent="0.3">
      <c r="A254" t="s">
        <v>411</v>
      </c>
      <c r="B254" s="1">
        <v>45761</v>
      </c>
      <c r="C254" t="s">
        <v>286</v>
      </c>
      <c r="D254">
        <v>2</v>
      </c>
      <c r="E254">
        <v>500</v>
      </c>
      <c r="F254" t="s">
        <v>26</v>
      </c>
      <c r="G254" t="s">
        <v>15</v>
      </c>
      <c r="H254">
        <v>0</v>
      </c>
      <c r="I254" t="s">
        <v>287</v>
      </c>
      <c r="J254" t="str">
        <f>IF(Table3_1[[#This Row],[Discount_applied]]=0,"No Discount","Discount Applied")</f>
        <v>No Discount</v>
      </c>
    </row>
    <row r="255" spans="1:10" x14ac:dyDescent="0.3">
      <c r="A255" t="s">
        <v>411</v>
      </c>
      <c r="B255" s="1">
        <v>45761</v>
      </c>
      <c r="C255" t="s">
        <v>289</v>
      </c>
      <c r="D255">
        <v>1</v>
      </c>
      <c r="E255">
        <v>220</v>
      </c>
      <c r="F255" t="s">
        <v>14</v>
      </c>
      <c r="G255" t="s">
        <v>27</v>
      </c>
      <c r="H255">
        <v>0</v>
      </c>
      <c r="I255" t="s">
        <v>300</v>
      </c>
      <c r="J255" t="str">
        <f>IF(Table3_1[[#This Row],[Discount_applied]]=0,"No Discount","Discount Applied")</f>
        <v>No Discount</v>
      </c>
    </row>
    <row r="256" spans="1:10" x14ac:dyDescent="0.3">
      <c r="A256" t="s">
        <v>411</v>
      </c>
      <c r="B256" s="1">
        <v>45761</v>
      </c>
      <c r="C256" t="s">
        <v>292</v>
      </c>
      <c r="D256">
        <v>3</v>
      </c>
      <c r="E256">
        <v>180</v>
      </c>
      <c r="F256" t="s">
        <v>26</v>
      </c>
      <c r="G256" t="s">
        <v>257</v>
      </c>
      <c r="H256">
        <v>15</v>
      </c>
      <c r="I256" t="s">
        <v>290</v>
      </c>
      <c r="J256" t="str">
        <f>IF(Table3_1[[#This Row],[Discount_applied]]=0,"No Discount","Discount Applied")</f>
        <v>Discount Applied</v>
      </c>
    </row>
    <row r="257" spans="1:10" x14ac:dyDescent="0.3">
      <c r="A257" t="s">
        <v>411</v>
      </c>
      <c r="B257" s="1">
        <v>45761</v>
      </c>
      <c r="C257" t="s">
        <v>295</v>
      </c>
      <c r="D257">
        <v>1</v>
      </c>
      <c r="E257">
        <v>280</v>
      </c>
      <c r="F257" t="s">
        <v>14</v>
      </c>
      <c r="G257" t="s">
        <v>15</v>
      </c>
      <c r="H257">
        <v>0</v>
      </c>
      <c r="I257" t="s">
        <v>293</v>
      </c>
      <c r="J257" t="str">
        <f>IF(Table3_1[[#This Row],[Discount_applied]]=0,"No Discount","Discount Applied")</f>
        <v>No Discount</v>
      </c>
    </row>
    <row r="258" spans="1:10" x14ac:dyDescent="0.3">
      <c r="A258" t="s">
        <v>411</v>
      </c>
      <c r="B258" s="1">
        <v>45761</v>
      </c>
      <c r="C258" t="s">
        <v>266</v>
      </c>
      <c r="D258">
        <v>2</v>
      </c>
      <c r="E258">
        <v>500</v>
      </c>
      <c r="F258" t="s">
        <v>26</v>
      </c>
      <c r="G258" t="s">
        <v>27</v>
      </c>
      <c r="H258">
        <v>0</v>
      </c>
      <c r="I258" t="s">
        <v>296</v>
      </c>
      <c r="J258" t="str">
        <f>IF(Table3_1[[#This Row],[Discount_applied]]=0,"No Discount","Discount Applied")</f>
        <v>No Discount</v>
      </c>
    </row>
    <row r="259" spans="1:10" x14ac:dyDescent="0.3">
      <c r="A259" t="s">
        <v>411</v>
      </c>
      <c r="B259" s="1">
        <v>45761</v>
      </c>
      <c r="C259" t="s">
        <v>278</v>
      </c>
      <c r="D259">
        <v>1</v>
      </c>
      <c r="E259">
        <v>160</v>
      </c>
      <c r="F259" t="s">
        <v>14</v>
      </c>
      <c r="G259" t="s">
        <v>257</v>
      </c>
      <c r="H259">
        <v>0</v>
      </c>
      <c r="I259" t="s">
        <v>298</v>
      </c>
      <c r="J259" t="str">
        <f>IF(Table3_1[[#This Row],[Discount_applied]]=0,"No Discount","Discount Applied")</f>
        <v>No Discount</v>
      </c>
    </row>
    <row r="260" spans="1:10" x14ac:dyDescent="0.3">
      <c r="A260" t="s">
        <v>411</v>
      </c>
      <c r="B260" s="1">
        <v>45761</v>
      </c>
      <c r="C260" t="s">
        <v>302</v>
      </c>
      <c r="D260">
        <v>1</v>
      </c>
      <c r="E260">
        <v>380</v>
      </c>
      <c r="F260" t="s">
        <v>26</v>
      </c>
      <c r="G260" t="s">
        <v>27</v>
      </c>
      <c r="H260">
        <v>10</v>
      </c>
      <c r="I260" t="s">
        <v>287</v>
      </c>
      <c r="J260" t="str">
        <f>IF(Table3_1[[#This Row],[Discount_applied]]=0,"No Discount","Discount Applied")</f>
        <v>Discount Applied</v>
      </c>
    </row>
    <row r="261" spans="1:10" x14ac:dyDescent="0.3">
      <c r="A261" t="s">
        <v>411</v>
      </c>
      <c r="B261" s="1">
        <v>45761</v>
      </c>
      <c r="C261" t="s">
        <v>269</v>
      </c>
      <c r="D261">
        <v>2</v>
      </c>
      <c r="E261">
        <v>200</v>
      </c>
      <c r="F261" t="s">
        <v>14</v>
      </c>
      <c r="G261" t="s">
        <v>15</v>
      </c>
      <c r="H261">
        <v>0</v>
      </c>
      <c r="I261" t="s">
        <v>300</v>
      </c>
      <c r="J261" t="str">
        <f>IF(Table3_1[[#This Row],[Discount_applied]]=0,"No Discount","Discount Applied")</f>
        <v>No Discount</v>
      </c>
    </row>
    <row r="262" spans="1:10" x14ac:dyDescent="0.3">
      <c r="A262" t="s">
        <v>411</v>
      </c>
      <c r="B262" s="1">
        <v>45761</v>
      </c>
      <c r="C262" t="s">
        <v>305</v>
      </c>
      <c r="D262">
        <v>1</v>
      </c>
      <c r="E262">
        <v>140</v>
      </c>
      <c r="F262" t="s">
        <v>26</v>
      </c>
      <c r="G262" t="s">
        <v>27</v>
      </c>
      <c r="H262">
        <v>0</v>
      </c>
      <c r="I262" t="s">
        <v>290</v>
      </c>
      <c r="J262" t="str">
        <f>IF(Table3_1[[#This Row],[Discount_applied]]=0,"No Discount","Discount Applied")</f>
        <v>No Discount</v>
      </c>
    </row>
    <row r="263" spans="1:10" x14ac:dyDescent="0.3">
      <c r="A263" t="s">
        <v>411</v>
      </c>
      <c r="B263" s="1">
        <v>45761</v>
      </c>
      <c r="C263" t="s">
        <v>280</v>
      </c>
      <c r="D263">
        <v>2</v>
      </c>
      <c r="E263">
        <v>240</v>
      </c>
      <c r="F263" t="s">
        <v>26</v>
      </c>
      <c r="G263" t="s">
        <v>15</v>
      </c>
      <c r="H263">
        <v>0</v>
      </c>
      <c r="I263" t="s">
        <v>281</v>
      </c>
      <c r="J263" t="str">
        <f>IF(Table3_1[[#This Row],[Discount_applied]]=0,"No Discount","Discount Applied")</f>
        <v>No Discount</v>
      </c>
    </row>
    <row r="264" spans="1:10" x14ac:dyDescent="0.3">
      <c r="A264" t="s">
        <v>411</v>
      </c>
      <c r="B264" s="1">
        <v>45761</v>
      </c>
      <c r="C264" t="s">
        <v>283</v>
      </c>
      <c r="D264">
        <v>1</v>
      </c>
      <c r="E264">
        <v>450</v>
      </c>
      <c r="F264" t="s">
        <v>14</v>
      </c>
      <c r="G264" t="s">
        <v>27</v>
      </c>
      <c r="H264">
        <v>30</v>
      </c>
      <c r="I264" t="s">
        <v>284</v>
      </c>
      <c r="J264" t="str">
        <f>IF(Table3_1[[#This Row],[Discount_applied]]=0,"No Discount","Discount Applied")</f>
        <v>Discount Applied</v>
      </c>
    </row>
    <row r="265" spans="1:10" x14ac:dyDescent="0.3">
      <c r="A265" t="s">
        <v>411</v>
      </c>
      <c r="B265" s="1">
        <v>45761</v>
      </c>
      <c r="C265" t="s">
        <v>286</v>
      </c>
      <c r="D265">
        <v>2</v>
      </c>
      <c r="E265">
        <v>500</v>
      </c>
      <c r="F265" t="s">
        <v>26</v>
      </c>
      <c r="G265" t="s">
        <v>15</v>
      </c>
      <c r="H265">
        <v>0</v>
      </c>
      <c r="I265" t="s">
        <v>287</v>
      </c>
      <c r="J265" t="str">
        <f>IF(Table3_1[[#This Row],[Discount_applied]]=0,"No Discount","Discount Applied")</f>
        <v>No Discount</v>
      </c>
    </row>
    <row r="266" spans="1:10" x14ac:dyDescent="0.3">
      <c r="A266" t="s">
        <v>411</v>
      </c>
      <c r="B266" s="1">
        <v>45761</v>
      </c>
      <c r="C266" t="s">
        <v>289</v>
      </c>
      <c r="D266">
        <v>1</v>
      </c>
      <c r="E266">
        <v>220</v>
      </c>
      <c r="F266" t="s">
        <v>14</v>
      </c>
      <c r="G266" t="s">
        <v>27</v>
      </c>
      <c r="H266">
        <v>20</v>
      </c>
      <c r="I266" t="s">
        <v>290</v>
      </c>
      <c r="J266" t="str">
        <f>IF(Table3_1[[#This Row],[Discount_applied]]=0,"No Discount","Discount Applied")</f>
        <v>Discount Applied</v>
      </c>
    </row>
    <row r="267" spans="1:10" x14ac:dyDescent="0.3">
      <c r="A267" t="s">
        <v>411</v>
      </c>
      <c r="B267" s="1">
        <v>45761</v>
      </c>
      <c r="C267" t="s">
        <v>292</v>
      </c>
      <c r="D267">
        <v>3</v>
      </c>
      <c r="E267">
        <v>180</v>
      </c>
      <c r="F267" t="s">
        <v>26</v>
      </c>
      <c r="G267" t="s">
        <v>257</v>
      </c>
      <c r="H267">
        <v>0</v>
      </c>
      <c r="I267" t="s">
        <v>293</v>
      </c>
      <c r="J267" t="str">
        <f>IF(Table3_1[[#This Row],[Discount_applied]]=0,"No Discount","Discount Applied")</f>
        <v>No Discount</v>
      </c>
    </row>
    <row r="268" spans="1:10" x14ac:dyDescent="0.3">
      <c r="A268" t="s">
        <v>411</v>
      </c>
      <c r="B268" s="1">
        <v>45761</v>
      </c>
      <c r="C268" t="s">
        <v>295</v>
      </c>
      <c r="D268">
        <v>1</v>
      </c>
      <c r="E268">
        <v>280</v>
      </c>
      <c r="F268" t="s">
        <v>14</v>
      </c>
      <c r="G268" t="s">
        <v>27</v>
      </c>
      <c r="H268">
        <v>0</v>
      </c>
      <c r="I268" t="s">
        <v>296</v>
      </c>
      <c r="J268" t="str">
        <f>IF(Table3_1[[#This Row],[Discount_applied]]=0,"No Discount","Discount Applied")</f>
        <v>No Discount</v>
      </c>
    </row>
    <row r="269" spans="1:10" x14ac:dyDescent="0.3">
      <c r="A269" t="s">
        <v>411</v>
      </c>
      <c r="B269" s="1">
        <v>45761</v>
      </c>
      <c r="C269" t="s">
        <v>266</v>
      </c>
      <c r="D269">
        <v>2</v>
      </c>
      <c r="E269">
        <v>500</v>
      </c>
      <c r="F269" t="s">
        <v>26</v>
      </c>
      <c r="G269" t="s">
        <v>15</v>
      </c>
      <c r="H269">
        <v>10</v>
      </c>
      <c r="I269" t="s">
        <v>298</v>
      </c>
      <c r="J269" t="str">
        <f>IF(Table3_1[[#This Row],[Discount_applied]]=0,"No Discount","Discount Applied")</f>
        <v>Discount Applied</v>
      </c>
    </row>
    <row r="270" spans="1:10" x14ac:dyDescent="0.3">
      <c r="A270" t="s">
        <v>411</v>
      </c>
      <c r="B270" s="1">
        <v>45761</v>
      </c>
      <c r="C270" t="s">
        <v>278</v>
      </c>
      <c r="D270">
        <v>1</v>
      </c>
      <c r="E270">
        <v>160</v>
      </c>
      <c r="F270" t="s">
        <v>14</v>
      </c>
      <c r="G270" t="s">
        <v>257</v>
      </c>
      <c r="H270">
        <v>0</v>
      </c>
      <c r="I270" t="s">
        <v>300</v>
      </c>
      <c r="J270" t="str">
        <f>IF(Table3_1[[#This Row],[Discount_applied]]=0,"No Discount","Discount Applied")</f>
        <v>No Discount</v>
      </c>
    </row>
    <row r="271" spans="1:10" x14ac:dyDescent="0.3">
      <c r="A271" t="s">
        <v>411</v>
      </c>
      <c r="B271" s="1">
        <v>45761</v>
      </c>
      <c r="C271" t="s">
        <v>302</v>
      </c>
      <c r="D271">
        <v>1</v>
      </c>
      <c r="E271">
        <v>380</v>
      </c>
      <c r="F271" t="s">
        <v>26</v>
      </c>
      <c r="G271" t="s">
        <v>27</v>
      </c>
      <c r="H271">
        <v>25</v>
      </c>
      <c r="I271" t="s">
        <v>287</v>
      </c>
      <c r="J271" t="str">
        <f>IF(Table3_1[[#This Row],[Discount_applied]]=0,"No Discount","Discount Applied")</f>
        <v>Discount Applied</v>
      </c>
    </row>
    <row r="272" spans="1:10" x14ac:dyDescent="0.3">
      <c r="A272" t="s">
        <v>411</v>
      </c>
      <c r="B272" s="1">
        <v>45761</v>
      </c>
      <c r="C272" t="s">
        <v>269</v>
      </c>
      <c r="D272">
        <v>2</v>
      </c>
      <c r="E272">
        <v>200</v>
      </c>
      <c r="F272" t="s">
        <v>14</v>
      </c>
      <c r="G272" t="s">
        <v>15</v>
      </c>
      <c r="H272">
        <v>0</v>
      </c>
      <c r="I272" t="s">
        <v>290</v>
      </c>
      <c r="J272" t="str">
        <f>IF(Table3_1[[#This Row],[Discount_applied]]=0,"No Discount","Discount Applied")</f>
        <v>No Discount</v>
      </c>
    </row>
    <row r="273" spans="1:10" x14ac:dyDescent="0.3">
      <c r="A273" t="s">
        <v>411</v>
      </c>
      <c r="B273" s="1">
        <v>45761</v>
      </c>
      <c r="C273" t="s">
        <v>305</v>
      </c>
      <c r="D273">
        <v>1</v>
      </c>
      <c r="E273">
        <v>140</v>
      </c>
      <c r="F273" t="s">
        <v>26</v>
      </c>
      <c r="G273" t="s">
        <v>27</v>
      </c>
      <c r="H273">
        <v>0</v>
      </c>
      <c r="I273" t="s">
        <v>293</v>
      </c>
      <c r="J273" t="str">
        <f>IF(Table3_1[[#This Row],[Discount_applied]]=0,"No Discount","Discount Applied")</f>
        <v>No Discount</v>
      </c>
    </row>
    <row r="274" spans="1:10" x14ac:dyDescent="0.3">
      <c r="A274" t="s">
        <v>411</v>
      </c>
      <c r="B274" s="1">
        <v>45761</v>
      </c>
      <c r="C274" t="s">
        <v>307</v>
      </c>
      <c r="D274">
        <v>4</v>
      </c>
      <c r="E274">
        <v>100</v>
      </c>
      <c r="F274" t="s">
        <v>14</v>
      </c>
      <c r="G274" t="s">
        <v>257</v>
      </c>
      <c r="H274">
        <v>10</v>
      </c>
      <c r="I274" t="s">
        <v>296</v>
      </c>
      <c r="J274" t="str">
        <f>IF(Table3_1[[#This Row],[Discount_applied]]=0,"No Discount","Discount Applied")</f>
        <v>Discount Applied</v>
      </c>
    </row>
    <row r="275" spans="1:10" x14ac:dyDescent="0.3">
      <c r="A275" t="s">
        <v>411</v>
      </c>
      <c r="B275" s="1">
        <v>45761</v>
      </c>
      <c r="C275" t="s">
        <v>309</v>
      </c>
      <c r="D275">
        <v>2</v>
      </c>
      <c r="E275">
        <v>320</v>
      </c>
      <c r="F275" t="s">
        <v>26</v>
      </c>
      <c r="G275" t="s">
        <v>27</v>
      </c>
      <c r="H275">
        <v>0</v>
      </c>
      <c r="I275" t="s">
        <v>298</v>
      </c>
      <c r="J275" t="str">
        <f>IF(Table3_1[[#This Row],[Discount_applied]]=0,"No Discount","Discount Applied")</f>
        <v>No Discount</v>
      </c>
    </row>
    <row r="276" spans="1:10" x14ac:dyDescent="0.3">
      <c r="A276" t="s">
        <v>411</v>
      </c>
      <c r="B276" s="1">
        <v>45761</v>
      </c>
      <c r="C276" t="s">
        <v>272</v>
      </c>
      <c r="D276">
        <v>1</v>
      </c>
      <c r="E276">
        <v>350</v>
      </c>
      <c r="F276" t="s">
        <v>14</v>
      </c>
      <c r="G276" t="s">
        <v>15</v>
      </c>
      <c r="H276">
        <v>15</v>
      </c>
      <c r="I276" t="s">
        <v>287</v>
      </c>
      <c r="J276" t="str">
        <f>IF(Table3_1[[#This Row],[Discount_applied]]=0,"No Discount","Discount Applied")</f>
        <v>Discount Applied</v>
      </c>
    </row>
    <row r="277" spans="1:10" x14ac:dyDescent="0.3">
      <c r="A277" t="s">
        <v>411</v>
      </c>
      <c r="B277" s="1">
        <v>45761</v>
      </c>
      <c r="C277" t="s">
        <v>312</v>
      </c>
      <c r="D277">
        <v>2</v>
      </c>
      <c r="E277">
        <v>240</v>
      </c>
      <c r="F277" t="s">
        <v>26</v>
      </c>
      <c r="G277" t="s">
        <v>257</v>
      </c>
      <c r="H277">
        <v>0</v>
      </c>
      <c r="I277" t="s">
        <v>300</v>
      </c>
      <c r="J277" t="str">
        <f>IF(Table3_1[[#This Row],[Discount_applied]]=0,"No Discount","Discount Applied")</f>
        <v>No Discount</v>
      </c>
    </row>
    <row r="278" spans="1:10" x14ac:dyDescent="0.3">
      <c r="A278" t="s">
        <v>411</v>
      </c>
      <c r="B278" s="1">
        <v>45761</v>
      </c>
      <c r="C278" t="s">
        <v>314</v>
      </c>
      <c r="D278">
        <v>1</v>
      </c>
      <c r="E278">
        <v>300</v>
      </c>
      <c r="F278" t="s">
        <v>14</v>
      </c>
      <c r="G278" t="s">
        <v>27</v>
      </c>
      <c r="H278">
        <v>20</v>
      </c>
      <c r="I278" t="s">
        <v>290</v>
      </c>
      <c r="J278" t="str">
        <f>IF(Table3_1[[#This Row],[Discount_applied]]=0,"No Discount","Discount Applied")</f>
        <v>Discount Applied</v>
      </c>
    </row>
    <row r="279" spans="1:10" x14ac:dyDescent="0.3">
      <c r="A279" t="s">
        <v>411</v>
      </c>
      <c r="B279" s="1">
        <v>45761</v>
      </c>
      <c r="C279" t="s">
        <v>256</v>
      </c>
      <c r="D279">
        <v>3</v>
      </c>
      <c r="E279">
        <v>150</v>
      </c>
      <c r="F279" t="s">
        <v>26</v>
      </c>
      <c r="G279" t="s">
        <v>15</v>
      </c>
      <c r="H279">
        <v>0</v>
      </c>
      <c r="I279" t="s">
        <v>293</v>
      </c>
      <c r="J279" t="str">
        <f>IF(Table3_1[[#This Row],[Discount_applied]]=0,"No Discount","Discount Applied")</f>
        <v>No Discount</v>
      </c>
    </row>
    <row r="280" spans="1:10" x14ac:dyDescent="0.3">
      <c r="A280" t="s">
        <v>411</v>
      </c>
      <c r="B280" s="1">
        <v>45761</v>
      </c>
      <c r="C280" t="s">
        <v>251</v>
      </c>
      <c r="D280">
        <v>2</v>
      </c>
      <c r="E280">
        <v>400</v>
      </c>
      <c r="F280" t="s">
        <v>14</v>
      </c>
      <c r="G280" t="s">
        <v>27</v>
      </c>
      <c r="H280">
        <v>0</v>
      </c>
      <c r="I280" t="s">
        <v>296</v>
      </c>
      <c r="J280" t="str">
        <f>IF(Table3_1[[#This Row],[Discount_applied]]=0,"No Discount","Discount Applied")</f>
        <v>No Discount</v>
      </c>
    </row>
    <row r="281" spans="1:10" x14ac:dyDescent="0.3">
      <c r="A281" t="s">
        <v>411</v>
      </c>
      <c r="B281" s="1">
        <v>45761</v>
      </c>
      <c r="C281" t="s">
        <v>318</v>
      </c>
      <c r="D281">
        <v>1</v>
      </c>
      <c r="E281">
        <v>250</v>
      </c>
      <c r="F281" t="s">
        <v>26</v>
      </c>
      <c r="G281" t="s">
        <v>15</v>
      </c>
      <c r="H281">
        <v>30</v>
      </c>
      <c r="I281" t="s">
        <v>298</v>
      </c>
      <c r="J281" t="str">
        <f>IF(Table3_1[[#This Row],[Discount_applied]]=0,"No Discount","Discount Applied")</f>
        <v>Discount Applied</v>
      </c>
    </row>
    <row r="282" spans="1:10" x14ac:dyDescent="0.3">
      <c r="A282" t="s">
        <v>411</v>
      </c>
      <c r="B282" s="1">
        <v>45761</v>
      </c>
      <c r="C282" t="s">
        <v>280</v>
      </c>
      <c r="D282">
        <v>1</v>
      </c>
      <c r="E282">
        <v>150</v>
      </c>
      <c r="F282" t="s">
        <v>14</v>
      </c>
      <c r="G282" t="s">
        <v>257</v>
      </c>
      <c r="H282">
        <v>0</v>
      </c>
      <c r="I282" t="s">
        <v>287</v>
      </c>
      <c r="J282" t="str">
        <f>IF(Table3_1[[#This Row],[Discount_applied]]=0,"No Discount","Discount Applied")</f>
        <v>No Discount</v>
      </c>
    </row>
    <row r="283" spans="1:10" x14ac:dyDescent="0.3">
      <c r="A283" t="s">
        <v>411</v>
      </c>
      <c r="B283" s="1">
        <v>45761</v>
      </c>
      <c r="C283" t="s">
        <v>244</v>
      </c>
      <c r="D283">
        <v>2</v>
      </c>
      <c r="E283">
        <v>300</v>
      </c>
      <c r="F283" t="s">
        <v>26</v>
      </c>
      <c r="G283" t="s">
        <v>27</v>
      </c>
      <c r="H283">
        <v>0</v>
      </c>
      <c r="I283" t="s">
        <v>300</v>
      </c>
      <c r="J283" t="str">
        <f>IF(Table3_1[[#This Row],[Discount_applied]]=0,"No Discount","Discount Applied")</f>
        <v>No Discount</v>
      </c>
    </row>
    <row r="284" spans="1:10" x14ac:dyDescent="0.3">
      <c r="A284" t="s">
        <v>411</v>
      </c>
      <c r="B284" s="1">
        <v>45761</v>
      </c>
      <c r="C284" t="s">
        <v>322</v>
      </c>
      <c r="D284">
        <v>3</v>
      </c>
      <c r="E284">
        <v>180</v>
      </c>
      <c r="F284" t="s">
        <v>14</v>
      </c>
      <c r="G284" t="s">
        <v>15</v>
      </c>
      <c r="H284">
        <v>10</v>
      </c>
      <c r="I284" t="s">
        <v>443</v>
      </c>
      <c r="J284" t="str">
        <f>IF(Table3_1[[#This Row],[Discount_applied]]=0,"No Discount","Discount Applied")</f>
        <v>Discount Applied</v>
      </c>
    </row>
    <row r="285" spans="1:10" x14ac:dyDescent="0.3">
      <c r="A285" t="s">
        <v>411</v>
      </c>
      <c r="B285" s="1">
        <v>45761</v>
      </c>
      <c r="C285" t="s">
        <v>324</v>
      </c>
      <c r="D285">
        <v>2</v>
      </c>
      <c r="E285">
        <v>90</v>
      </c>
      <c r="F285" t="s">
        <v>26</v>
      </c>
      <c r="G285" t="s">
        <v>27</v>
      </c>
      <c r="H285">
        <v>0</v>
      </c>
      <c r="I285" t="s">
        <v>293</v>
      </c>
      <c r="J285" t="str">
        <f>IF(Table3_1[[#This Row],[Discount_applied]]=0,"No Discount","Discount Applied")</f>
        <v>No Discount</v>
      </c>
    </row>
    <row r="286" spans="1:10" x14ac:dyDescent="0.3">
      <c r="A286" t="s">
        <v>411</v>
      </c>
      <c r="B286" s="1">
        <v>45761</v>
      </c>
      <c r="C286" t="s">
        <v>326</v>
      </c>
      <c r="D286">
        <v>1</v>
      </c>
      <c r="E286">
        <v>320</v>
      </c>
      <c r="F286" t="s">
        <v>14</v>
      </c>
      <c r="G286" t="s">
        <v>257</v>
      </c>
      <c r="H286">
        <v>20</v>
      </c>
      <c r="I286" t="s">
        <v>296</v>
      </c>
      <c r="J286" t="str">
        <f>IF(Table3_1[[#This Row],[Discount_applied]]=0,"No Discount","Discount Applied")</f>
        <v>Discount Applied</v>
      </c>
    </row>
    <row r="287" spans="1:10" x14ac:dyDescent="0.3">
      <c r="A287" t="s">
        <v>411</v>
      </c>
      <c r="B287" s="1">
        <v>45761</v>
      </c>
      <c r="C287" t="s">
        <v>328</v>
      </c>
      <c r="D287">
        <v>3</v>
      </c>
      <c r="E287">
        <v>120</v>
      </c>
      <c r="F287" t="s">
        <v>26</v>
      </c>
      <c r="G287" t="s">
        <v>15</v>
      </c>
      <c r="H287">
        <v>0</v>
      </c>
      <c r="I287" t="s">
        <v>298</v>
      </c>
      <c r="J287" t="str">
        <f>IF(Table3_1[[#This Row],[Discount_applied]]=0,"No Discount","Discount Applied")</f>
        <v>No Discount</v>
      </c>
    </row>
    <row r="288" spans="1:10" x14ac:dyDescent="0.3">
      <c r="A288" t="s">
        <v>411</v>
      </c>
      <c r="B288" s="1">
        <v>45761</v>
      </c>
      <c r="C288" t="s">
        <v>283</v>
      </c>
      <c r="D288">
        <v>1</v>
      </c>
      <c r="E288">
        <v>450</v>
      </c>
      <c r="F288" t="s">
        <v>14</v>
      </c>
      <c r="G288" t="s">
        <v>27</v>
      </c>
      <c r="H288">
        <v>15</v>
      </c>
      <c r="I288" t="s">
        <v>443</v>
      </c>
      <c r="J288" t="str">
        <f>IF(Table3_1[[#This Row],[Discount_applied]]=0,"No Discount","Discount Applied")</f>
        <v>Discount Applied</v>
      </c>
    </row>
    <row r="289" spans="1:10" x14ac:dyDescent="0.3">
      <c r="A289" t="s">
        <v>411</v>
      </c>
      <c r="B289" s="1">
        <v>45761</v>
      </c>
      <c r="C289" t="s">
        <v>331</v>
      </c>
      <c r="D289">
        <v>2</v>
      </c>
      <c r="E289">
        <v>260</v>
      </c>
      <c r="F289" t="s">
        <v>26</v>
      </c>
      <c r="G289" t="s">
        <v>15</v>
      </c>
      <c r="H289">
        <v>0</v>
      </c>
      <c r="I289" t="s">
        <v>300</v>
      </c>
      <c r="J289" t="str">
        <f>IF(Table3_1[[#This Row],[Discount_applied]]=0,"No Discount","Discount Applied")</f>
        <v>No Discount</v>
      </c>
    </row>
    <row r="290" spans="1:10" x14ac:dyDescent="0.3">
      <c r="A290" t="s">
        <v>411</v>
      </c>
      <c r="B290" s="1">
        <v>45761</v>
      </c>
      <c r="C290" t="s">
        <v>333</v>
      </c>
      <c r="D290">
        <v>3</v>
      </c>
      <c r="E290">
        <v>300</v>
      </c>
      <c r="F290" t="s">
        <v>14</v>
      </c>
      <c r="G290" t="s">
        <v>257</v>
      </c>
      <c r="H290">
        <v>20</v>
      </c>
      <c r="I290" t="s">
        <v>290</v>
      </c>
      <c r="J290" t="str">
        <f>IF(Table3_1[[#This Row],[Discount_applied]]=0,"No Discount","Discount Applied")</f>
        <v>Discount Applied</v>
      </c>
    </row>
    <row r="291" spans="1:10" x14ac:dyDescent="0.3">
      <c r="A291" t="s">
        <v>411</v>
      </c>
      <c r="B291" s="1">
        <v>45761</v>
      </c>
      <c r="C291" t="s">
        <v>335</v>
      </c>
      <c r="D291">
        <v>1</v>
      </c>
      <c r="E291">
        <v>200</v>
      </c>
      <c r="F291" t="s">
        <v>26</v>
      </c>
      <c r="G291" t="s">
        <v>27</v>
      </c>
      <c r="H291">
        <v>0</v>
      </c>
      <c r="I291" t="s">
        <v>293</v>
      </c>
      <c r="J291" t="str">
        <f>IF(Table3_1[[#This Row],[Discount_applied]]=0,"No Discount","Discount Applied")</f>
        <v>No Discount</v>
      </c>
    </row>
    <row r="292" spans="1:10" x14ac:dyDescent="0.3">
      <c r="A292" t="s">
        <v>411</v>
      </c>
      <c r="B292" s="1">
        <v>45761</v>
      </c>
      <c r="C292" t="s">
        <v>337</v>
      </c>
      <c r="D292">
        <v>2</v>
      </c>
      <c r="E292">
        <v>240</v>
      </c>
      <c r="F292" t="s">
        <v>14</v>
      </c>
      <c r="G292" t="s">
        <v>27</v>
      </c>
      <c r="H292">
        <v>10</v>
      </c>
      <c r="I292" t="s">
        <v>296</v>
      </c>
      <c r="J292" t="str">
        <f>IF(Table3_1[[#This Row],[Discount_applied]]=0,"No Discount","Discount Applied")</f>
        <v>Discount Applied</v>
      </c>
    </row>
    <row r="293" spans="1:10" x14ac:dyDescent="0.3">
      <c r="A293" t="s">
        <v>411</v>
      </c>
      <c r="B293" s="1">
        <v>45761</v>
      </c>
      <c r="C293" t="s">
        <v>339</v>
      </c>
      <c r="D293">
        <v>1</v>
      </c>
      <c r="E293">
        <v>320</v>
      </c>
      <c r="F293" t="s">
        <v>26</v>
      </c>
      <c r="G293" t="s">
        <v>15</v>
      </c>
      <c r="H293">
        <v>0</v>
      </c>
      <c r="I293" t="s">
        <v>298</v>
      </c>
      <c r="J293" t="str">
        <f>IF(Table3_1[[#This Row],[Discount_applied]]=0,"No Discount","Discount Applied")</f>
        <v>No Discount</v>
      </c>
    </row>
    <row r="294" spans="1:10" x14ac:dyDescent="0.3">
      <c r="A294" t="s">
        <v>411</v>
      </c>
      <c r="B294" s="1">
        <v>45761</v>
      </c>
      <c r="C294" t="s">
        <v>256</v>
      </c>
      <c r="D294">
        <v>4</v>
      </c>
      <c r="E294">
        <v>200</v>
      </c>
      <c r="F294" t="s">
        <v>14</v>
      </c>
      <c r="G294" t="s">
        <v>15</v>
      </c>
      <c r="H294">
        <v>0</v>
      </c>
      <c r="I294" t="s">
        <v>287</v>
      </c>
      <c r="J294" t="str">
        <f>IF(Table3_1[[#This Row],[Discount_applied]]=0,"No Discount","Discount Applied")</f>
        <v>No Discount</v>
      </c>
    </row>
    <row r="295" spans="1:10" x14ac:dyDescent="0.3">
      <c r="A295" t="s">
        <v>411</v>
      </c>
      <c r="B295" s="1">
        <v>45761</v>
      </c>
      <c r="C295" t="s">
        <v>260</v>
      </c>
      <c r="D295">
        <v>1</v>
      </c>
      <c r="E295">
        <v>250</v>
      </c>
      <c r="F295" t="s">
        <v>26</v>
      </c>
      <c r="G295" t="s">
        <v>27</v>
      </c>
      <c r="H295">
        <v>30</v>
      </c>
      <c r="I295" t="s">
        <v>300</v>
      </c>
      <c r="J295" t="str">
        <f>IF(Table3_1[[#This Row],[Discount_applied]]=0,"No Discount","Discount Applied")</f>
        <v>Discount Applied</v>
      </c>
    </row>
    <row r="296" spans="1:10" x14ac:dyDescent="0.3">
      <c r="A296" t="s">
        <v>411</v>
      </c>
      <c r="B296" s="1">
        <v>45761</v>
      </c>
      <c r="C296" t="s">
        <v>263</v>
      </c>
      <c r="D296">
        <v>2</v>
      </c>
      <c r="E296">
        <v>180</v>
      </c>
      <c r="F296" t="s">
        <v>14</v>
      </c>
      <c r="G296" t="s">
        <v>257</v>
      </c>
      <c r="H296">
        <v>0</v>
      </c>
      <c r="I296" t="s">
        <v>290</v>
      </c>
      <c r="J296" t="str">
        <f>IF(Table3_1[[#This Row],[Discount_applied]]=0,"No Discount","Discount Applied")</f>
        <v>No Discount</v>
      </c>
    </row>
    <row r="297" spans="1:10" x14ac:dyDescent="0.3">
      <c r="A297" t="s">
        <v>411</v>
      </c>
      <c r="B297" s="1">
        <v>45761</v>
      </c>
      <c r="C297" t="s">
        <v>251</v>
      </c>
      <c r="D297">
        <v>1</v>
      </c>
      <c r="E297">
        <v>200</v>
      </c>
      <c r="F297" t="s">
        <v>26</v>
      </c>
      <c r="G297" t="s">
        <v>27</v>
      </c>
      <c r="H297">
        <v>0</v>
      </c>
      <c r="I297" t="s">
        <v>293</v>
      </c>
      <c r="J297" t="str">
        <f>IF(Table3_1[[#This Row],[Discount_applied]]=0,"No Discount","Discount Applied")</f>
        <v>No Discount</v>
      </c>
    </row>
    <row r="298" spans="1:10" x14ac:dyDescent="0.3">
      <c r="A298" t="s">
        <v>411</v>
      </c>
      <c r="B298" s="1">
        <v>45761</v>
      </c>
      <c r="C298" t="s">
        <v>266</v>
      </c>
      <c r="D298">
        <v>2</v>
      </c>
      <c r="E298">
        <v>500</v>
      </c>
      <c r="F298" t="s">
        <v>14</v>
      </c>
      <c r="G298" t="s">
        <v>15</v>
      </c>
      <c r="H298">
        <v>15</v>
      </c>
      <c r="I298" t="s">
        <v>296</v>
      </c>
      <c r="J298" t="str">
        <f>IF(Table3_1[[#This Row],[Discount_applied]]=0,"No Discount","Discount Applied")</f>
        <v>Discount Applied</v>
      </c>
    </row>
    <row r="299" spans="1:10" x14ac:dyDescent="0.3">
      <c r="A299" t="s">
        <v>411</v>
      </c>
      <c r="B299" s="1">
        <v>45761</v>
      </c>
      <c r="C299" t="s">
        <v>278</v>
      </c>
      <c r="D299">
        <v>1</v>
      </c>
      <c r="E299">
        <v>160</v>
      </c>
      <c r="F299" t="s">
        <v>14</v>
      </c>
      <c r="G299" t="s">
        <v>257</v>
      </c>
      <c r="H299">
        <v>0</v>
      </c>
      <c r="I299" t="s">
        <v>296</v>
      </c>
      <c r="J299" t="str">
        <f>IF(Table3_1[[#This Row],[Discount_applied]]=0,"No Discount","Discount Applied")</f>
        <v>No Discount</v>
      </c>
    </row>
    <row r="300" spans="1:10" x14ac:dyDescent="0.3">
      <c r="A300" t="s">
        <v>411</v>
      </c>
      <c r="B300" s="1">
        <v>45761</v>
      </c>
      <c r="C300" t="s">
        <v>302</v>
      </c>
      <c r="D300">
        <v>1</v>
      </c>
      <c r="E300">
        <v>380</v>
      </c>
      <c r="F300" t="s">
        <v>26</v>
      </c>
      <c r="G300" t="s">
        <v>27</v>
      </c>
      <c r="H300">
        <v>0</v>
      </c>
      <c r="I300" t="s">
        <v>298</v>
      </c>
      <c r="J300" t="str">
        <f>IF(Table3_1[[#This Row],[Discount_applied]]=0,"No Discount","Discount Applied")</f>
        <v>No Discount</v>
      </c>
    </row>
    <row r="301" spans="1:10" x14ac:dyDescent="0.3">
      <c r="A301" t="s">
        <v>411</v>
      </c>
      <c r="B301" s="1">
        <v>45761</v>
      </c>
      <c r="C301" t="s">
        <v>269</v>
      </c>
      <c r="D301">
        <v>2</v>
      </c>
      <c r="E301">
        <v>200</v>
      </c>
      <c r="F301" t="s">
        <v>14</v>
      </c>
      <c r="G301" t="s">
        <v>27</v>
      </c>
      <c r="H301">
        <v>10</v>
      </c>
      <c r="I301" t="s">
        <v>287</v>
      </c>
      <c r="J301" t="str">
        <f>IF(Table3_1[[#This Row],[Discount_applied]]=0,"No Discount","Discount Applied")</f>
        <v>Discount Applied</v>
      </c>
    </row>
    <row r="302" spans="1:10" x14ac:dyDescent="0.3">
      <c r="A302" t="s">
        <v>411</v>
      </c>
      <c r="B302" s="1">
        <v>45761</v>
      </c>
      <c r="C302" t="s">
        <v>305</v>
      </c>
      <c r="D302">
        <v>1</v>
      </c>
      <c r="E302">
        <v>140</v>
      </c>
      <c r="F302" t="s">
        <v>26</v>
      </c>
      <c r="G302" t="s">
        <v>15</v>
      </c>
      <c r="H302">
        <v>0</v>
      </c>
      <c r="I302" t="s">
        <v>300</v>
      </c>
      <c r="J302" t="str">
        <f>IF(Table3_1[[#This Row],[Discount_applied]]=0,"No Discount","Discount Applied")</f>
        <v>No Discount</v>
      </c>
    </row>
    <row r="303" spans="1:10" x14ac:dyDescent="0.3">
      <c r="A303" t="s">
        <v>411</v>
      </c>
      <c r="B303" s="1">
        <v>45761</v>
      </c>
      <c r="C303" t="s">
        <v>307</v>
      </c>
      <c r="D303">
        <v>4</v>
      </c>
      <c r="E303">
        <v>100</v>
      </c>
      <c r="F303" t="s">
        <v>14</v>
      </c>
      <c r="G303" t="s">
        <v>27</v>
      </c>
      <c r="H303">
        <v>0</v>
      </c>
      <c r="I303" t="s">
        <v>290</v>
      </c>
      <c r="J303" t="str">
        <f>IF(Table3_1[[#This Row],[Discount_applied]]=0,"No Discount","Discount Applied")</f>
        <v>No Discount</v>
      </c>
    </row>
    <row r="304" spans="1:10" x14ac:dyDescent="0.3">
      <c r="A304" t="s">
        <v>411</v>
      </c>
      <c r="B304" s="1">
        <v>45761</v>
      </c>
      <c r="C304" t="s">
        <v>295</v>
      </c>
      <c r="D304">
        <v>1</v>
      </c>
      <c r="E304">
        <v>280</v>
      </c>
      <c r="F304" t="s">
        <v>14</v>
      </c>
      <c r="G304" t="s">
        <v>27</v>
      </c>
      <c r="H304">
        <v>20</v>
      </c>
      <c r="I304" t="s">
        <v>287</v>
      </c>
      <c r="J304" t="str">
        <f>IF(Table3_1[[#This Row],[Discount_applied]]=0,"No Discount","Discount Applied")</f>
        <v>Discount Applied</v>
      </c>
    </row>
    <row r="305" spans="1:10" x14ac:dyDescent="0.3">
      <c r="A305" t="s">
        <v>411</v>
      </c>
      <c r="B305" s="1">
        <v>45761</v>
      </c>
      <c r="C305" t="s">
        <v>286</v>
      </c>
      <c r="D305">
        <v>2</v>
      </c>
      <c r="E305">
        <v>500</v>
      </c>
      <c r="F305" t="s">
        <v>26</v>
      </c>
      <c r="G305" t="s">
        <v>15</v>
      </c>
      <c r="H305">
        <v>0</v>
      </c>
      <c r="I305" t="s">
        <v>290</v>
      </c>
      <c r="J305" t="str">
        <f>IF(Table3_1[[#This Row],[Discount_applied]]=0,"No Discount","Discount Applied")</f>
        <v>No Discount</v>
      </c>
    </row>
    <row r="306" spans="1:10" x14ac:dyDescent="0.3">
      <c r="A306" t="s">
        <v>411</v>
      </c>
      <c r="B306" s="1">
        <v>45761</v>
      </c>
      <c r="C306" t="s">
        <v>289</v>
      </c>
      <c r="D306">
        <v>1</v>
      </c>
      <c r="E306">
        <v>220</v>
      </c>
      <c r="F306" t="s">
        <v>14</v>
      </c>
      <c r="G306" t="s">
        <v>257</v>
      </c>
      <c r="H306">
        <v>0</v>
      </c>
      <c r="I306" t="s">
        <v>293</v>
      </c>
      <c r="J306" t="str">
        <f>IF(Table3_1[[#This Row],[Discount_applied]]=0,"No Discount","Discount Applied")</f>
        <v>No Discount</v>
      </c>
    </row>
    <row r="307" spans="1:10" x14ac:dyDescent="0.3">
      <c r="A307" t="s">
        <v>411</v>
      </c>
      <c r="B307" s="1">
        <v>45761</v>
      </c>
      <c r="C307" t="s">
        <v>292</v>
      </c>
      <c r="D307">
        <v>3</v>
      </c>
      <c r="E307">
        <v>180</v>
      </c>
      <c r="F307" t="s">
        <v>26</v>
      </c>
      <c r="G307" t="s">
        <v>27</v>
      </c>
      <c r="H307">
        <v>0</v>
      </c>
      <c r="I307" t="s">
        <v>296</v>
      </c>
      <c r="J307" t="str">
        <f>IF(Table3_1[[#This Row],[Discount_applied]]=0,"No Discount","Discount Applied")</f>
        <v>No Discount</v>
      </c>
    </row>
    <row r="308" spans="1:10" x14ac:dyDescent="0.3">
      <c r="A308" t="s">
        <v>411</v>
      </c>
      <c r="B308" s="1">
        <v>45761</v>
      </c>
      <c r="C308" t="s">
        <v>295</v>
      </c>
      <c r="D308">
        <v>1</v>
      </c>
      <c r="E308">
        <v>280</v>
      </c>
      <c r="F308" t="s">
        <v>14</v>
      </c>
      <c r="G308" t="s">
        <v>15</v>
      </c>
      <c r="H308">
        <v>10</v>
      </c>
      <c r="I308" t="s">
        <v>298</v>
      </c>
      <c r="J308" t="str">
        <f>IF(Table3_1[[#This Row],[Discount_applied]]=0,"No Discount","Discount Applied")</f>
        <v>Discount Applied</v>
      </c>
    </row>
    <row r="309" spans="1:10" x14ac:dyDescent="0.3">
      <c r="A309" t="s">
        <v>411</v>
      </c>
      <c r="B309" s="1">
        <v>45761</v>
      </c>
      <c r="C309" t="s">
        <v>266</v>
      </c>
      <c r="D309">
        <v>2</v>
      </c>
      <c r="E309">
        <v>500</v>
      </c>
      <c r="F309" t="s">
        <v>26</v>
      </c>
      <c r="G309" t="s">
        <v>27</v>
      </c>
      <c r="H309">
        <v>0</v>
      </c>
      <c r="I309" t="s">
        <v>300</v>
      </c>
      <c r="J309" t="str">
        <f>IF(Table3_1[[#This Row],[Discount_applied]]=0,"No Discount","Discount Applied")</f>
        <v>No Discount</v>
      </c>
    </row>
    <row r="310" spans="1:10" x14ac:dyDescent="0.3">
      <c r="A310" t="s">
        <v>411</v>
      </c>
      <c r="B310" s="1">
        <v>45761</v>
      </c>
      <c r="C310" t="s">
        <v>278</v>
      </c>
      <c r="D310">
        <v>1</v>
      </c>
      <c r="E310">
        <v>160</v>
      </c>
      <c r="F310" t="s">
        <v>14</v>
      </c>
      <c r="G310" t="s">
        <v>257</v>
      </c>
      <c r="H310">
        <v>15</v>
      </c>
      <c r="I310" t="s">
        <v>287</v>
      </c>
      <c r="J310" t="str">
        <f>IF(Table3_1[[#This Row],[Discount_applied]]=0,"No Discount","Discount Applied")</f>
        <v>Discount Applied</v>
      </c>
    </row>
    <row r="311" spans="1:10" x14ac:dyDescent="0.3">
      <c r="A311" t="s">
        <v>411</v>
      </c>
      <c r="B311" s="1">
        <v>45761</v>
      </c>
      <c r="C311" t="s">
        <v>302</v>
      </c>
      <c r="D311">
        <v>1</v>
      </c>
      <c r="E311">
        <v>380</v>
      </c>
      <c r="F311" t="s">
        <v>26</v>
      </c>
      <c r="G311" t="s">
        <v>15</v>
      </c>
      <c r="H311">
        <v>0</v>
      </c>
      <c r="I311" t="s">
        <v>290</v>
      </c>
      <c r="J311" t="str">
        <f>IF(Table3_1[[#This Row],[Discount_applied]]=0,"No Discount","Discount Applied")</f>
        <v>No Discount</v>
      </c>
    </row>
    <row r="312" spans="1:10" x14ac:dyDescent="0.3">
      <c r="A312" t="s">
        <v>411</v>
      </c>
      <c r="B312" s="1">
        <v>45761</v>
      </c>
      <c r="C312" t="s">
        <v>269</v>
      </c>
      <c r="D312">
        <v>2</v>
      </c>
      <c r="E312">
        <v>200</v>
      </c>
      <c r="F312" t="s">
        <v>14</v>
      </c>
      <c r="G312" t="s">
        <v>27</v>
      </c>
      <c r="H312">
        <v>0</v>
      </c>
      <c r="I312" t="s">
        <v>293</v>
      </c>
      <c r="J312" t="str">
        <f>IF(Table3_1[[#This Row],[Discount_applied]]=0,"No Discount","Discount Applied")</f>
        <v>No Discount</v>
      </c>
    </row>
    <row r="313" spans="1:10" x14ac:dyDescent="0.3">
      <c r="A313" t="s">
        <v>411</v>
      </c>
      <c r="B313" s="1">
        <v>45761</v>
      </c>
      <c r="C313" t="s">
        <v>305</v>
      </c>
      <c r="D313">
        <v>1</v>
      </c>
      <c r="E313">
        <v>140</v>
      </c>
      <c r="F313" t="s">
        <v>26</v>
      </c>
      <c r="G313" t="s">
        <v>27</v>
      </c>
      <c r="H313">
        <v>20</v>
      </c>
      <c r="I313" t="s">
        <v>296</v>
      </c>
      <c r="J313" t="str">
        <f>IF(Table3_1[[#This Row],[Discount_applied]]=0,"No Discount","Discount Applied")</f>
        <v>Discount Applied</v>
      </c>
    </row>
    <row r="314" spans="1:10" x14ac:dyDescent="0.3">
      <c r="A314" t="s">
        <v>411</v>
      </c>
      <c r="B314" s="1">
        <v>45761</v>
      </c>
      <c r="C314" t="s">
        <v>307</v>
      </c>
      <c r="D314">
        <v>4</v>
      </c>
      <c r="E314">
        <v>100</v>
      </c>
      <c r="F314" t="s">
        <v>14</v>
      </c>
      <c r="G314" t="s">
        <v>257</v>
      </c>
      <c r="H314">
        <v>0</v>
      </c>
      <c r="I314" t="s">
        <v>298</v>
      </c>
      <c r="J314" t="str">
        <f>IF(Table3_1[[#This Row],[Discount_applied]]=0,"No Discount","Discount Applied")</f>
        <v>No Discount</v>
      </c>
    </row>
    <row r="315" spans="1:10" x14ac:dyDescent="0.3">
      <c r="A315" t="s">
        <v>411</v>
      </c>
      <c r="B315" s="1">
        <v>45761</v>
      </c>
      <c r="C315" t="s">
        <v>309</v>
      </c>
      <c r="D315">
        <v>2</v>
      </c>
      <c r="E315">
        <v>320</v>
      </c>
      <c r="F315" t="s">
        <v>26</v>
      </c>
      <c r="G315" t="s">
        <v>15</v>
      </c>
      <c r="H315">
        <v>0</v>
      </c>
      <c r="I315" t="s">
        <v>287</v>
      </c>
      <c r="J315" t="str">
        <f>IF(Table3_1[[#This Row],[Discount_applied]]=0,"No Discount","Discount Applied")</f>
        <v>No Discount</v>
      </c>
    </row>
    <row r="316" spans="1:10" x14ac:dyDescent="0.3">
      <c r="A316" t="s">
        <v>411</v>
      </c>
      <c r="B316" s="1">
        <v>45761</v>
      </c>
      <c r="C316" t="s">
        <v>272</v>
      </c>
      <c r="D316">
        <v>1</v>
      </c>
      <c r="E316">
        <v>350</v>
      </c>
      <c r="F316" t="s">
        <v>14</v>
      </c>
      <c r="G316" t="s">
        <v>27</v>
      </c>
      <c r="H316">
        <v>25</v>
      </c>
      <c r="I316" t="s">
        <v>300</v>
      </c>
      <c r="J316" t="str">
        <f>IF(Table3_1[[#This Row],[Discount_applied]]=0,"No Discount","Discount Applied")</f>
        <v>Discount Applied</v>
      </c>
    </row>
    <row r="317" spans="1:10" x14ac:dyDescent="0.3">
      <c r="A317" t="s">
        <v>411</v>
      </c>
      <c r="B317" s="1">
        <v>45761</v>
      </c>
      <c r="C317" t="s">
        <v>312</v>
      </c>
      <c r="D317">
        <v>2</v>
      </c>
      <c r="E317">
        <v>240</v>
      </c>
      <c r="F317" t="s">
        <v>26</v>
      </c>
      <c r="G317" t="s">
        <v>27</v>
      </c>
      <c r="H317">
        <v>0</v>
      </c>
      <c r="I317" t="s">
        <v>290</v>
      </c>
      <c r="J317" t="str">
        <f>IF(Table3_1[[#This Row],[Discount_applied]]=0,"No Discount","Discount Applied")</f>
        <v>No Discount</v>
      </c>
    </row>
    <row r="318" spans="1:10" x14ac:dyDescent="0.3">
      <c r="A318" t="s">
        <v>411</v>
      </c>
      <c r="B318" s="1">
        <v>45761</v>
      </c>
      <c r="C318" t="s">
        <v>314</v>
      </c>
      <c r="D318">
        <v>1</v>
      </c>
      <c r="E318">
        <v>300</v>
      </c>
      <c r="F318" t="s">
        <v>14</v>
      </c>
      <c r="G318" t="s">
        <v>15</v>
      </c>
      <c r="H318">
        <v>0</v>
      </c>
      <c r="I318" t="s">
        <v>293</v>
      </c>
      <c r="J318" t="str">
        <f>IF(Table3_1[[#This Row],[Discount_applied]]=0,"No Discount","Discount Applied")</f>
        <v>No Discount</v>
      </c>
    </row>
    <row r="319" spans="1:10" x14ac:dyDescent="0.3">
      <c r="A319" t="s">
        <v>411</v>
      </c>
      <c r="B319" s="1">
        <v>45761</v>
      </c>
      <c r="C319" t="s">
        <v>256</v>
      </c>
      <c r="D319">
        <v>3</v>
      </c>
      <c r="E319">
        <v>150</v>
      </c>
      <c r="F319" t="s">
        <v>26</v>
      </c>
      <c r="G319" t="s">
        <v>27</v>
      </c>
      <c r="H319">
        <v>10</v>
      </c>
      <c r="I319" t="s">
        <v>296</v>
      </c>
      <c r="J319" t="str">
        <f>IF(Table3_1[[#This Row],[Discount_applied]]=0,"No Discount","Discount Applied")</f>
        <v>Discount Applied</v>
      </c>
    </row>
    <row r="320" spans="1:10" x14ac:dyDescent="0.3">
      <c r="A320" t="s">
        <v>411</v>
      </c>
      <c r="B320" s="1">
        <v>45761</v>
      </c>
      <c r="C320" t="s">
        <v>251</v>
      </c>
      <c r="D320">
        <v>2</v>
      </c>
      <c r="E320">
        <v>400</v>
      </c>
      <c r="F320" t="s">
        <v>14</v>
      </c>
      <c r="G320" t="s">
        <v>257</v>
      </c>
      <c r="H320">
        <v>0</v>
      </c>
      <c r="I320" t="s">
        <v>298</v>
      </c>
      <c r="J320" t="str">
        <f>IF(Table3_1[[#This Row],[Discount_applied]]=0,"No Discount","Discount Applied")</f>
        <v>No Discount</v>
      </c>
    </row>
    <row r="321" spans="1:10" x14ac:dyDescent="0.3">
      <c r="A321" t="s">
        <v>411</v>
      </c>
      <c r="B321" s="1">
        <v>45761</v>
      </c>
      <c r="C321" t="s">
        <v>318</v>
      </c>
      <c r="D321">
        <v>1</v>
      </c>
      <c r="E321">
        <v>250</v>
      </c>
      <c r="F321" t="s">
        <v>26</v>
      </c>
      <c r="G321" t="s">
        <v>15</v>
      </c>
      <c r="H321">
        <v>0</v>
      </c>
      <c r="I321" t="s">
        <v>287</v>
      </c>
      <c r="J321" t="str">
        <f>IF(Table3_1[[#This Row],[Discount_applied]]=0,"No Discount","Discount Applied")</f>
        <v>No Discount</v>
      </c>
    </row>
    <row r="322" spans="1:10" x14ac:dyDescent="0.3">
      <c r="A322" t="s">
        <v>411</v>
      </c>
      <c r="B322" s="1">
        <v>45761</v>
      </c>
      <c r="C322" t="s">
        <v>280</v>
      </c>
      <c r="D322">
        <v>1</v>
      </c>
      <c r="E322">
        <v>150</v>
      </c>
      <c r="F322" t="s">
        <v>14</v>
      </c>
      <c r="G322" t="s">
        <v>27</v>
      </c>
      <c r="H322">
        <v>15</v>
      </c>
      <c r="I322" t="s">
        <v>300</v>
      </c>
      <c r="J322" t="str">
        <f>IF(Table3_1[[#This Row],[Discount_applied]]=0,"No Discount","Discount Applied")</f>
        <v>Discount Applied</v>
      </c>
    </row>
    <row r="323" spans="1:10" x14ac:dyDescent="0.3">
      <c r="A323" t="s">
        <v>411</v>
      </c>
      <c r="B323" s="1">
        <v>45761</v>
      </c>
      <c r="C323" t="s">
        <v>244</v>
      </c>
      <c r="D323">
        <v>2</v>
      </c>
      <c r="E323">
        <v>300</v>
      </c>
      <c r="F323" t="s">
        <v>26</v>
      </c>
      <c r="G323" t="s">
        <v>27</v>
      </c>
      <c r="H323">
        <v>0</v>
      </c>
      <c r="I323" t="s">
        <v>290</v>
      </c>
      <c r="J323" t="str">
        <f>IF(Table3_1[[#This Row],[Discount_applied]]=0,"No Discount","Discount Applied")</f>
        <v>No Discount</v>
      </c>
    </row>
    <row r="324" spans="1:10" x14ac:dyDescent="0.3">
      <c r="A324" t="s">
        <v>411</v>
      </c>
      <c r="B324" s="1">
        <v>45761</v>
      </c>
      <c r="C324" t="s">
        <v>322</v>
      </c>
      <c r="D324">
        <v>3</v>
      </c>
      <c r="E324">
        <v>180</v>
      </c>
      <c r="F324" t="s">
        <v>14</v>
      </c>
      <c r="G324" t="s">
        <v>15</v>
      </c>
      <c r="H324">
        <v>0</v>
      </c>
      <c r="I324" t="s">
        <v>293</v>
      </c>
      <c r="J324" t="str">
        <f>IF(Table3_1[[#This Row],[Discount_applied]]=0,"No Discount","Discount Applied")</f>
        <v>No Discount</v>
      </c>
    </row>
    <row r="325" spans="1:10" x14ac:dyDescent="0.3">
      <c r="A325" t="s">
        <v>411</v>
      </c>
      <c r="B325" s="1">
        <v>45761</v>
      </c>
      <c r="C325" t="s">
        <v>324</v>
      </c>
      <c r="D325">
        <v>2</v>
      </c>
      <c r="E325">
        <v>90</v>
      </c>
      <c r="F325" t="s">
        <v>26</v>
      </c>
      <c r="G325" t="s">
        <v>27</v>
      </c>
      <c r="H325">
        <v>20</v>
      </c>
      <c r="I325" t="s">
        <v>296</v>
      </c>
      <c r="J325" t="str">
        <f>IF(Table3_1[[#This Row],[Discount_applied]]=0,"No Discount","Discount Applied")</f>
        <v>Discount Applied</v>
      </c>
    </row>
    <row r="326" spans="1:10" x14ac:dyDescent="0.3">
      <c r="A326" t="s">
        <v>411</v>
      </c>
      <c r="B326" s="1">
        <v>45761</v>
      </c>
      <c r="C326" t="s">
        <v>326</v>
      </c>
      <c r="D326">
        <v>1</v>
      </c>
      <c r="E326">
        <v>320</v>
      </c>
      <c r="F326" t="s">
        <v>14</v>
      </c>
      <c r="G326" t="s">
        <v>257</v>
      </c>
      <c r="H326">
        <v>0</v>
      </c>
      <c r="I326" t="s">
        <v>298</v>
      </c>
      <c r="J326" t="str">
        <f>IF(Table3_1[[#This Row],[Discount_applied]]=0,"No Discount","Discount Applied")</f>
        <v>No Discount</v>
      </c>
    </row>
    <row r="327" spans="1:10" x14ac:dyDescent="0.3">
      <c r="A327" t="s">
        <v>411</v>
      </c>
      <c r="B327" s="1">
        <v>45761</v>
      </c>
      <c r="C327" t="s">
        <v>328</v>
      </c>
      <c r="D327">
        <v>3</v>
      </c>
      <c r="E327">
        <v>120</v>
      </c>
      <c r="F327" t="s">
        <v>26</v>
      </c>
      <c r="G327" t="s">
        <v>27</v>
      </c>
      <c r="H327">
        <v>0</v>
      </c>
      <c r="I327" t="s">
        <v>287</v>
      </c>
      <c r="J327" t="str">
        <f>IF(Table3_1[[#This Row],[Discount_applied]]=0,"No Discount","Discount Applied")</f>
        <v>No Discount</v>
      </c>
    </row>
    <row r="328" spans="1:10" x14ac:dyDescent="0.3">
      <c r="A328" t="s">
        <v>411</v>
      </c>
      <c r="B328" s="1">
        <v>45761</v>
      </c>
      <c r="C328" t="s">
        <v>283</v>
      </c>
      <c r="D328">
        <v>1</v>
      </c>
      <c r="E328">
        <v>450</v>
      </c>
      <c r="F328" t="s">
        <v>14</v>
      </c>
      <c r="G328" t="s">
        <v>15</v>
      </c>
      <c r="H328">
        <v>10</v>
      </c>
      <c r="I328" t="s">
        <v>300</v>
      </c>
      <c r="J328" t="str">
        <f>IF(Table3_1[[#This Row],[Discount_applied]]=0,"No Discount","Discount Applied")</f>
        <v>Discount Applied</v>
      </c>
    </row>
    <row r="329" spans="1:10" x14ac:dyDescent="0.3">
      <c r="A329" t="s">
        <v>411</v>
      </c>
      <c r="B329" s="1">
        <v>45761</v>
      </c>
      <c r="C329" t="s">
        <v>331</v>
      </c>
      <c r="D329">
        <v>2</v>
      </c>
      <c r="E329">
        <v>260</v>
      </c>
      <c r="F329" t="s">
        <v>26</v>
      </c>
      <c r="G329" t="s">
        <v>15</v>
      </c>
      <c r="H329">
        <v>0</v>
      </c>
      <c r="I329" t="s">
        <v>290</v>
      </c>
      <c r="J329" t="str">
        <f>IF(Table3_1[[#This Row],[Discount_applied]]=0,"No Discount","Discount Applied")</f>
        <v>No Discount</v>
      </c>
    </row>
    <row r="330" spans="1:10" x14ac:dyDescent="0.3">
      <c r="A330" t="s">
        <v>411</v>
      </c>
      <c r="B330" s="1">
        <v>45761</v>
      </c>
      <c r="C330" t="s">
        <v>333</v>
      </c>
      <c r="D330">
        <v>3</v>
      </c>
      <c r="E330">
        <v>300</v>
      </c>
      <c r="F330" t="s">
        <v>14</v>
      </c>
      <c r="G330" t="s">
        <v>257</v>
      </c>
      <c r="H330">
        <v>0</v>
      </c>
      <c r="I330" t="s">
        <v>293</v>
      </c>
      <c r="J330" t="str">
        <f>IF(Table3_1[[#This Row],[Discount_applied]]=0,"No Discount","Discount Applied")</f>
        <v>No Discount</v>
      </c>
    </row>
    <row r="331" spans="1:10" x14ac:dyDescent="0.3">
      <c r="A331" t="s">
        <v>411</v>
      </c>
      <c r="B331" s="1">
        <v>45761</v>
      </c>
      <c r="C331" t="s">
        <v>335</v>
      </c>
      <c r="D331">
        <v>1</v>
      </c>
      <c r="E331">
        <v>200</v>
      </c>
      <c r="F331" t="s">
        <v>26</v>
      </c>
      <c r="G331" t="s">
        <v>27</v>
      </c>
      <c r="H331">
        <v>25</v>
      </c>
      <c r="I331" t="s">
        <v>296</v>
      </c>
      <c r="J331" t="str">
        <f>IF(Table3_1[[#This Row],[Discount_applied]]=0,"No Discount","Discount Applied")</f>
        <v>Discount Applied</v>
      </c>
    </row>
    <row r="332" spans="1:10" x14ac:dyDescent="0.3">
      <c r="A332" t="s">
        <v>411</v>
      </c>
      <c r="B332" s="1">
        <v>45761</v>
      </c>
      <c r="C332" t="s">
        <v>337</v>
      </c>
      <c r="D332">
        <v>2</v>
      </c>
      <c r="E332">
        <v>240</v>
      </c>
      <c r="F332" t="s">
        <v>14</v>
      </c>
      <c r="G332" t="s">
        <v>27</v>
      </c>
      <c r="H332">
        <v>0</v>
      </c>
      <c r="I332" t="s">
        <v>298</v>
      </c>
      <c r="J332" t="str">
        <f>IF(Table3_1[[#This Row],[Discount_applied]]=0,"No Discount","Discount Applied")</f>
        <v>No Discount</v>
      </c>
    </row>
    <row r="333" spans="1:10" x14ac:dyDescent="0.3">
      <c r="A333" t="s">
        <v>411</v>
      </c>
      <c r="B333" s="1">
        <v>45761</v>
      </c>
      <c r="C333" t="s">
        <v>339</v>
      </c>
      <c r="D333">
        <v>1</v>
      </c>
      <c r="E333">
        <v>320</v>
      </c>
      <c r="F333" t="s">
        <v>26</v>
      </c>
      <c r="G333" t="s">
        <v>15</v>
      </c>
      <c r="H333">
        <v>0</v>
      </c>
      <c r="I333" t="s">
        <v>287</v>
      </c>
      <c r="J333" t="str">
        <f>IF(Table3_1[[#This Row],[Discount_applied]]=0,"No Discount","Discount Applied")</f>
        <v>No Discount</v>
      </c>
    </row>
    <row r="334" spans="1:10" x14ac:dyDescent="0.3">
      <c r="A334" t="s">
        <v>411</v>
      </c>
      <c r="B334" s="1">
        <v>45761</v>
      </c>
      <c r="C334" t="s">
        <v>256</v>
      </c>
      <c r="D334">
        <v>4</v>
      </c>
      <c r="E334">
        <v>200</v>
      </c>
      <c r="F334" t="s">
        <v>14</v>
      </c>
      <c r="G334" t="s">
        <v>27</v>
      </c>
      <c r="H334">
        <v>0</v>
      </c>
      <c r="I334" t="s">
        <v>300</v>
      </c>
      <c r="J334" t="str">
        <f>IF(Table3_1[[#This Row],[Discount_applied]]=0,"No Discount","Discount Applied")</f>
        <v>No Discount</v>
      </c>
    </row>
    <row r="335" spans="1:10" x14ac:dyDescent="0.3">
      <c r="A335" t="s">
        <v>411</v>
      </c>
      <c r="B335" s="1">
        <v>45761</v>
      </c>
      <c r="C335" t="s">
        <v>260</v>
      </c>
      <c r="D335">
        <v>1</v>
      </c>
      <c r="E335">
        <v>250</v>
      </c>
      <c r="F335" t="s">
        <v>26</v>
      </c>
      <c r="G335" t="s">
        <v>257</v>
      </c>
      <c r="H335">
        <v>15</v>
      </c>
      <c r="I335" t="s">
        <v>290</v>
      </c>
      <c r="J335" t="str">
        <f>IF(Table3_1[[#This Row],[Discount_applied]]=0,"No Discount","Discount Applied")</f>
        <v>Discount Applied</v>
      </c>
    </row>
    <row r="336" spans="1:10" x14ac:dyDescent="0.3">
      <c r="A336" t="s">
        <v>411</v>
      </c>
      <c r="B336" s="1">
        <v>45761</v>
      </c>
      <c r="C336" t="s">
        <v>263</v>
      </c>
      <c r="D336">
        <v>2</v>
      </c>
      <c r="E336">
        <v>180</v>
      </c>
      <c r="F336" t="s">
        <v>14</v>
      </c>
      <c r="G336" t="s">
        <v>27</v>
      </c>
      <c r="H336">
        <v>0</v>
      </c>
      <c r="I336" t="s">
        <v>293</v>
      </c>
      <c r="J336" t="str">
        <f>IF(Table3_1[[#This Row],[Discount_applied]]=0,"No Discount","Discount Applied")</f>
        <v>No Discount</v>
      </c>
    </row>
    <row r="337" spans="1:10" x14ac:dyDescent="0.3">
      <c r="A337" t="s">
        <v>411</v>
      </c>
      <c r="B337" s="1">
        <v>45761</v>
      </c>
      <c r="C337" t="s">
        <v>251</v>
      </c>
      <c r="D337">
        <v>1</v>
      </c>
      <c r="E337">
        <v>200</v>
      </c>
      <c r="F337" t="s">
        <v>26</v>
      </c>
      <c r="G337" t="s">
        <v>15</v>
      </c>
      <c r="H337">
        <v>0</v>
      </c>
      <c r="I337" t="s">
        <v>296</v>
      </c>
      <c r="J337" t="str">
        <f>IF(Table3_1[[#This Row],[Discount_applied]]=0,"No Discount","Discount Applied")</f>
        <v>No Discount</v>
      </c>
    </row>
    <row r="338" spans="1:10" x14ac:dyDescent="0.3">
      <c r="A338" t="s">
        <v>411</v>
      </c>
      <c r="B338" s="1">
        <v>45761</v>
      </c>
      <c r="C338" t="s">
        <v>266</v>
      </c>
      <c r="D338">
        <v>2</v>
      </c>
      <c r="E338">
        <v>500</v>
      </c>
      <c r="F338" t="s">
        <v>14</v>
      </c>
      <c r="G338" t="s">
        <v>27</v>
      </c>
      <c r="H338">
        <v>30</v>
      </c>
      <c r="I338" t="s">
        <v>298</v>
      </c>
      <c r="J338" t="str">
        <f>IF(Table3_1[[#This Row],[Discount_applied]]=0,"No Discount","Discount Applied")</f>
        <v>Discount Applied</v>
      </c>
    </row>
    <row r="339" spans="1:10" x14ac:dyDescent="0.3">
      <c r="A339" t="s">
        <v>411</v>
      </c>
      <c r="B339" s="1">
        <v>45761</v>
      </c>
      <c r="C339" t="s">
        <v>269</v>
      </c>
      <c r="D339">
        <v>1</v>
      </c>
      <c r="E339">
        <v>180</v>
      </c>
      <c r="F339" t="s">
        <v>26</v>
      </c>
      <c r="G339" t="s">
        <v>27</v>
      </c>
      <c r="H339">
        <v>0</v>
      </c>
      <c r="I339" t="s">
        <v>287</v>
      </c>
      <c r="J339" t="str">
        <f>IF(Table3_1[[#This Row],[Discount_applied]]=0,"No Discount","Discount Applied")</f>
        <v>No Discount</v>
      </c>
    </row>
    <row r="340" spans="1:10" x14ac:dyDescent="0.3">
      <c r="A340" t="s">
        <v>411</v>
      </c>
      <c r="B340" s="1">
        <v>45761</v>
      </c>
      <c r="C340" t="s">
        <v>244</v>
      </c>
      <c r="D340">
        <v>3</v>
      </c>
      <c r="E340">
        <v>450</v>
      </c>
      <c r="F340" t="s">
        <v>14</v>
      </c>
      <c r="G340" t="s">
        <v>257</v>
      </c>
      <c r="H340">
        <v>0</v>
      </c>
      <c r="I340" t="s">
        <v>300</v>
      </c>
      <c r="J340" t="str">
        <f>IF(Table3_1[[#This Row],[Discount_applied]]=0,"No Discount","Discount Applied")</f>
        <v>No Discount</v>
      </c>
    </row>
    <row r="341" spans="1:10" x14ac:dyDescent="0.3">
      <c r="A341" t="s">
        <v>411</v>
      </c>
      <c r="B341" s="1">
        <v>45761</v>
      </c>
      <c r="C341" t="s">
        <v>272</v>
      </c>
      <c r="D341">
        <v>1</v>
      </c>
      <c r="E341">
        <v>300</v>
      </c>
      <c r="F341" t="s">
        <v>26</v>
      </c>
      <c r="G341" t="s">
        <v>15</v>
      </c>
      <c r="H341">
        <v>10</v>
      </c>
      <c r="I341" t="s">
        <v>290</v>
      </c>
      <c r="J341" t="str">
        <f>IF(Table3_1[[#This Row],[Discount_applied]]=0,"No Discount","Discount Applied")</f>
        <v>Discount Applied</v>
      </c>
    </row>
    <row r="342" spans="1:10" x14ac:dyDescent="0.3">
      <c r="A342" t="s">
        <v>411</v>
      </c>
      <c r="B342" s="1">
        <v>45761</v>
      </c>
      <c r="C342" t="s">
        <v>274</v>
      </c>
      <c r="D342">
        <v>2</v>
      </c>
      <c r="E342">
        <v>260</v>
      </c>
      <c r="F342" t="s">
        <v>14</v>
      </c>
      <c r="G342" t="s">
        <v>15</v>
      </c>
      <c r="H342">
        <v>0</v>
      </c>
      <c r="I342" t="s">
        <v>293</v>
      </c>
      <c r="J342" t="str">
        <f>IF(Table3_1[[#This Row],[Discount_applied]]=0,"No Discount","Discount Applied")</f>
        <v>No Discount</v>
      </c>
    </row>
    <row r="343" spans="1:10" x14ac:dyDescent="0.3">
      <c r="A343" t="s">
        <v>411</v>
      </c>
      <c r="B343" s="1">
        <v>45761</v>
      </c>
      <c r="C343" t="s">
        <v>276</v>
      </c>
      <c r="D343">
        <v>1</v>
      </c>
      <c r="E343">
        <v>350</v>
      </c>
      <c r="F343" t="s">
        <v>26</v>
      </c>
      <c r="G343" t="s">
        <v>27</v>
      </c>
      <c r="H343">
        <v>0</v>
      </c>
      <c r="I343" t="s">
        <v>296</v>
      </c>
      <c r="J343" t="str">
        <f>IF(Table3_1[[#This Row],[Discount_applied]]=0,"No Discount","Discount Applied")</f>
        <v>No Discount</v>
      </c>
    </row>
    <row r="344" spans="1:10" x14ac:dyDescent="0.3">
      <c r="A344" t="s">
        <v>411</v>
      </c>
      <c r="B344" s="1">
        <v>45761</v>
      </c>
      <c r="C344" t="s">
        <v>278</v>
      </c>
      <c r="D344">
        <v>3</v>
      </c>
      <c r="E344">
        <v>420</v>
      </c>
      <c r="F344" t="s">
        <v>14</v>
      </c>
      <c r="G344" t="s">
        <v>257</v>
      </c>
      <c r="H344">
        <v>20</v>
      </c>
      <c r="I344" t="s">
        <v>298</v>
      </c>
      <c r="J344" t="str">
        <f>IF(Table3_1[[#This Row],[Discount_applied]]=0,"No Discount","Discount Applied")</f>
        <v>Discount Applied</v>
      </c>
    </row>
    <row r="345" spans="1:10" x14ac:dyDescent="0.3">
      <c r="A345" t="s">
        <v>411</v>
      </c>
      <c r="B345" s="1">
        <v>45761</v>
      </c>
      <c r="C345" t="s">
        <v>286</v>
      </c>
      <c r="D345">
        <v>2</v>
      </c>
      <c r="E345">
        <v>500</v>
      </c>
      <c r="F345" t="s">
        <v>26</v>
      </c>
      <c r="G345" t="s">
        <v>15</v>
      </c>
      <c r="H345">
        <v>0</v>
      </c>
      <c r="I345" t="s">
        <v>287</v>
      </c>
      <c r="J345" t="str">
        <f>IF(Table3_1[[#This Row],[Discount_applied]]=0,"No Discount","Discount Applied")</f>
        <v>No Discount</v>
      </c>
    </row>
    <row r="346" spans="1:10" x14ac:dyDescent="0.3">
      <c r="A346" t="s">
        <v>411</v>
      </c>
      <c r="B346" s="1">
        <v>45761</v>
      </c>
      <c r="C346" t="s">
        <v>289</v>
      </c>
      <c r="D346">
        <v>1</v>
      </c>
      <c r="E346">
        <v>220</v>
      </c>
      <c r="F346" t="s">
        <v>14</v>
      </c>
      <c r="G346" t="s">
        <v>27</v>
      </c>
      <c r="H346">
        <v>0</v>
      </c>
      <c r="I346" t="s">
        <v>300</v>
      </c>
      <c r="J346" t="str">
        <f>IF(Table3_1[[#This Row],[Discount_applied]]=0,"No Discount","Discount Applied")</f>
        <v>No Discount</v>
      </c>
    </row>
    <row r="347" spans="1:10" x14ac:dyDescent="0.3">
      <c r="A347" t="s">
        <v>411</v>
      </c>
      <c r="B347" s="1">
        <v>45761</v>
      </c>
      <c r="C347" t="s">
        <v>292</v>
      </c>
      <c r="D347">
        <v>3</v>
      </c>
      <c r="E347">
        <v>180</v>
      </c>
      <c r="F347" t="s">
        <v>26</v>
      </c>
      <c r="G347" t="s">
        <v>257</v>
      </c>
      <c r="H347">
        <v>15</v>
      </c>
      <c r="I347" t="s">
        <v>290</v>
      </c>
      <c r="J347" t="str">
        <f>IF(Table3_1[[#This Row],[Discount_applied]]=0,"No Discount","Discount Applied")</f>
        <v>Discount Applied</v>
      </c>
    </row>
    <row r="348" spans="1:10" x14ac:dyDescent="0.3">
      <c r="A348" t="s">
        <v>411</v>
      </c>
      <c r="B348" s="1">
        <v>45761</v>
      </c>
      <c r="C348" t="s">
        <v>295</v>
      </c>
      <c r="D348">
        <v>1</v>
      </c>
      <c r="E348">
        <v>280</v>
      </c>
      <c r="F348" t="s">
        <v>14</v>
      </c>
      <c r="G348" t="s">
        <v>15</v>
      </c>
      <c r="H348">
        <v>0</v>
      </c>
      <c r="I348" t="s">
        <v>293</v>
      </c>
      <c r="J348" t="str">
        <f>IF(Table3_1[[#This Row],[Discount_applied]]=0,"No Discount","Discount Applied")</f>
        <v>No Discount</v>
      </c>
    </row>
    <row r="349" spans="1:10" x14ac:dyDescent="0.3">
      <c r="A349" t="s">
        <v>411</v>
      </c>
      <c r="B349" s="1">
        <v>45761</v>
      </c>
      <c r="C349" t="s">
        <v>266</v>
      </c>
      <c r="D349">
        <v>2</v>
      </c>
      <c r="E349">
        <v>500</v>
      </c>
      <c r="F349" t="s">
        <v>26</v>
      </c>
      <c r="G349" t="s">
        <v>27</v>
      </c>
      <c r="H349">
        <v>0</v>
      </c>
      <c r="I349" t="s">
        <v>296</v>
      </c>
      <c r="J349" t="str">
        <f>IF(Table3_1[[#This Row],[Discount_applied]]=0,"No Discount","Discount Applied")</f>
        <v>No Discount</v>
      </c>
    </row>
    <row r="350" spans="1:10" x14ac:dyDescent="0.3">
      <c r="A350" t="s">
        <v>411</v>
      </c>
      <c r="B350" s="1">
        <v>45761</v>
      </c>
      <c r="C350" t="s">
        <v>278</v>
      </c>
      <c r="D350">
        <v>1</v>
      </c>
      <c r="E350">
        <v>160</v>
      </c>
      <c r="F350" t="s">
        <v>14</v>
      </c>
      <c r="G350" t="s">
        <v>257</v>
      </c>
      <c r="H350">
        <v>0</v>
      </c>
      <c r="I350" t="s">
        <v>298</v>
      </c>
      <c r="J350" t="str">
        <f>IF(Table3_1[[#This Row],[Discount_applied]]=0,"No Discount","Discount Applied")</f>
        <v>No Discount</v>
      </c>
    </row>
    <row r="351" spans="1:10" x14ac:dyDescent="0.3">
      <c r="A351" t="s">
        <v>411</v>
      </c>
      <c r="B351" s="1">
        <v>45761</v>
      </c>
      <c r="C351" t="s">
        <v>302</v>
      </c>
      <c r="D351">
        <v>1</v>
      </c>
      <c r="E351">
        <v>380</v>
      </c>
      <c r="F351" t="s">
        <v>26</v>
      </c>
      <c r="G351" t="s">
        <v>27</v>
      </c>
      <c r="H351">
        <v>10</v>
      </c>
      <c r="I351" t="s">
        <v>287</v>
      </c>
      <c r="J351" t="str">
        <f>IF(Table3_1[[#This Row],[Discount_applied]]=0,"No Discount","Discount Applied")</f>
        <v>Discount Applied</v>
      </c>
    </row>
    <row r="352" spans="1:10" x14ac:dyDescent="0.3">
      <c r="A352" t="s">
        <v>411</v>
      </c>
      <c r="B352" s="1">
        <v>45761</v>
      </c>
      <c r="C352" t="s">
        <v>269</v>
      </c>
      <c r="D352">
        <v>2</v>
      </c>
      <c r="E352">
        <v>200</v>
      </c>
      <c r="F352" t="s">
        <v>14</v>
      </c>
      <c r="G352" t="s">
        <v>15</v>
      </c>
      <c r="H352">
        <v>0</v>
      </c>
      <c r="I352" t="s">
        <v>300</v>
      </c>
      <c r="J352" t="str">
        <f>IF(Table3_1[[#This Row],[Discount_applied]]=0,"No Discount","Discount Applied")</f>
        <v>No Discount</v>
      </c>
    </row>
    <row r="353" spans="1:10" x14ac:dyDescent="0.3">
      <c r="A353" t="s">
        <v>411</v>
      </c>
      <c r="B353" s="1">
        <v>45761</v>
      </c>
      <c r="C353" t="s">
        <v>305</v>
      </c>
      <c r="D353">
        <v>1</v>
      </c>
      <c r="E353">
        <v>140</v>
      </c>
      <c r="F353" t="s">
        <v>26</v>
      </c>
      <c r="G353" t="s">
        <v>27</v>
      </c>
      <c r="H353">
        <v>0</v>
      </c>
      <c r="I353" t="s">
        <v>290</v>
      </c>
      <c r="J353" t="str">
        <f>IF(Table3_1[[#This Row],[Discount_applied]]=0,"No Discount","Discount Applied")</f>
        <v>No Discount</v>
      </c>
    </row>
    <row r="354" spans="1:10" x14ac:dyDescent="0.3">
      <c r="A354" t="s">
        <v>411</v>
      </c>
      <c r="B354" s="1">
        <v>45761</v>
      </c>
      <c r="C354" t="s">
        <v>280</v>
      </c>
      <c r="D354">
        <v>2</v>
      </c>
      <c r="E354">
        <v>240</v>
      </c>
      <c r="F354" t="s">
        <v>26</v>
      </c>
      <c r="G354" t="s">
        <v>15</v>
      </c>
      <c r="H354">
        <v>0</v>
      </c>
      <c r="I354" t="s">
        <v>281</v>
      </c>
      <c r="J354" t="str">
        <f>IF(Table3_1[[#This Row],[Discount_applied]]=0,"No Discount","Discount Applied")</f>
        <v>No Discount</v>
      </c>
    </row>
    <row r="355" spans="1:10" x14ac:dyDescent="0.3">
      <c r="A355" t="s">
        <v>411</v>
      </c>
      <c r="B355" s="1">
        <v>45761</v>
      </c>
      <c r="C355" t="s">
        <v>283</v>
      </c>
      <c r="D355">
        <v>1</v>
      </c>
      <c r="E355">
        <v>450</v>
      </c>
      <c r="F355" t="s">
        <v>14</v>
      </c>
      <c r="G355" t="s">
        <v>27</v>
      </c>
      <c r="H355">
        <v>30</v>
      </c>
      <c r="I355" t="s">
        <v>284</v>
      </c>
      <c r="J355" t="str">
        <f>IF(Table3_1[[#This Row],[Discount_applied]]=0,"No Discount","Discount Applied")</f>
        <v>Discount Applied</v>
      </c>
    </row>
    <row r="356" spans="1:10" x14ac:dyDescent="0.3">
      <c r="A356" t="s">
        <v>411</v>
      </c>
      <c r="B356" s="1">
        <v>45761</v>
      </c>
      <c r="C356" t="s">
        <v>286</v>
      </c>
      <c r="D356">
        <v>2</v>
      </c>
      <c r="E356">
        <v>500</v>
      </c>
      <c r="F356" t="s">
        <v>26</v>
      </c>
      <c r="G356" t="s">
        <v>15</v>
      </c>
      <c r="H356">
        <v>0</v>
      </c>
      <c r="I356" t="s">
        <v>287</v>
      </c>
      <c r="J356" t="str">
        <f>IF(Table3_1[[#This Row],[Discount_applied]]=0,"No Discount","Discount Applied")</f>
        <v>No Discount</v>
      </c>
    </row>
    <row r="357" spans="1:10" x14ac:dyDescent="0.3">
      <c r="A357" t="s">
        <v>411</v>
      </c>
      <c r="B357" s="1">
        <v>45761</v>
      </c>
      <c r="C357" t="s">
        <v>289</v>
      </c>
      <c r="D357">
        <v>1</v>
      </c>
      <c r="E357">
        <v>220</v>
      </c>
      <c r="F357" t="s">
        <v>14</v>
      </c>
      <c r="G357" t="s">
        <v>27</v>
      </c>
      <c r="H357">
        <v>20</v>
      </c>
      <c r="I357" t="s">
        <v>290</v>
      </c>
      <c r="J357" t="str">
        <f>IF(Table3_1[[#This Row],[Discount_applied]]=0,"No Discount","Discount Applied")</f>
        <v>Discount Applied</v>
      </c>
    </row>
    <row r="358" spans="1:10" x14ac:dyDescent="0.3">
      <c r="A358" t="s">
        <v>411</v>
      </c>
      <c r="B358" s="1">
        <v>45761</v>
      </c>
      <c r="C358" t="s">
        <v>292</v>
      </c>
      <c r="D358">
        <v>3</v>
      </c>
      <c r="E358">
        <v>180</v>
      </c>
      <c r="F358" t="s">
        <v>26</v>
      </c>
      <c r="G358" t="s">
        <v>257</v>
      </c>
      <c r="H358">
        <v>0</v>
      </c>
      <c r="I358" t="s">
        <v>293</v>
      </c>
      <c r="J358" t="str">
        <f>IF(Table3_1[[#This Row],[Discount_applied]]=0,"No Discount","Discount Applied")</f>
        <v>No Discount</v>
      </c>
    </row>
    <row r="359" spans="1:10" x14ac:dyDescent="0.3">
      <c r="A359" t="s">
        <v>411</v>
      </c>
      <c r="B359" s="1">
        <v>45761</v>
      </c>
      <c r="C359" t="s">
        <v>295</v>
      </c>
      <c r="D359">
        <v>1</v>
      </c>
      <c r="E359">
        <v>280</v>
      </c>
      <c r="F359" t="s">
        <v>14</v>
      </c>
      <c r="G359" t="s">
        <v>27</v>
      </c>
      <c r="H359">
        <v>0</v>
      </c>
      <c r="I359" t="s">
        <v>296</v>
      </c>
      <c r="J359" t="str">
        <f>IF(Table3_1[[#This Row],[Discount_applied]]=0,"No Discount","Discount Applied")</f>
        <v>No Discount</v>
      </c>
    </row>
    <row r="360" spans="1:10" x14ac:dyDescent="0.3">
      <c r="A360" t="s">
        <v>411</v>
      </c>
      <c r="B360" s="1">
        <v>45761</v>
      </c>
      <c r="C360" t="s">
        <v>266</v>
      </c>
      <c r="D360">
        <v>2</v>
      </c>
      <c r="E360">
        <v>500</v>
      </c>
      <c r="F360" t="s">
        <v>26</v>
      </c>
      <c r="G360" t="s">
        <v>15</v>
      </c>
      <c r="H360">
        <v>10</v>
      </c>
      <c r="I360" t="s">
        <v>298</v>
      </c>
      <c r="J360" t="str">
        <f>IF(Table3_1[[#This Row],[Discount_applied]]=0,"No Discount","Discount Applied")</f>
        <v>Discount Applied</v>
      </c>
    </row>
    <row r="361" spans="1:10" x14ac:dyDescent="0.3">
      <c r="A361" t="s">
        <v>411</v>
      </c>
      <c r="B361" s="1">
        <v>45761</v>
      </c>
      <c r="C361" t="s">
        <v>278</v>
      </c>
      <c r="D361">
        <v>1</v>
      </c>
      <c r="E361">
        <v>160</v>
      </c>
      <c r="F361" t="s">
        <v>14</v>
      </c>
      <c r="G361" t="s">
        <v>257</v>
      </c>
      <c r="H361">
        <v>0</v>
      </c>
      <c r="I361" t="s">
        <v>300</v>
      </c>
      <c r="J361" t="str">
        <f>IF(Table3_1[[#This Row],[Discount_applied]]=0,"No Discount","Discount Applied")</f>
        <v>No Discount</v>
      </c>
    </row>
    <row r="362" spans="1:10" x14ac:dyDescent="0.3">
      <c r="A362" t="s">
        <v>411</v>
      </c>
      <c r="B362" s="1">
        <v>45761</v>
      </c>
      <c r="C362" t="s">
        <v>302</v>
      </c>
      <c r="D362">
        <v>1</v>
      </c>
      <c r="E362">
        <v>380</v>
      </c>
      <c r="F362" t="s">
        <v>26</v>
      </c>
      <c r="G362" t="s">
        <v>27</v>
      </c>
      <c r="H362">
        <v>25</v>
      </c>
      <c r="I362" t="s">
        <v>287</v>
      </c>
      <c r="J362" t="str">
        <f>IF(Table3_1[[#This Row],[Discount_applied]]=0,"No Discount","Discount Applied")</f>
        <v>Discount Applied</v>
      </c>
    </row>
    <row r="363" spans="1:10" x14ac:dyDescent="0.3">
      <c r="A363" t="s">
        <v>411</v>
      </c>
      <c r="B363" s="1">
        <v>45761</v>
      </c>
      <c r="C363" t="s">
        <v>269</v>
      </c>
      <c r="D363">
        <v>2</v>
      </c>
      <c r="E363">
        <v>200</v>
      </c>
      <c r="F363" t="s">
        <v>14</v>
      </c>
      <c r="G363" t="s">
        <v>15</v>
      </c>
      <c r="H363">
        <v>0</v>
      </c>
      <c r="I363" t="s">
        <v>290</v>
      </c>
      <c r="J363" t="str">
        <f>IF(Table3_1[[#This Row],[Discount_applied]]=0,"No Discount","Discount Applied")</f>
        <v>No Discount</v>
      </c>
    </row>
    <row r="364" spans="1:10" x14ac:dyDescent="0.3">
      <c r="A364" t="s">
        <v>411</v>
      </c>
      <c r="B364" s="1">
        <v>45761</v>
      </c>
      <c r="C364" t="s">
        <v>305</v>
      </c>
      <c r="D364">
        <v>1</v>
      </c>
      <c r="E364">
        <v>140</v>
      </c>
      <c r="F364" t="s">
        <v>26</v>
      </c>
      <c r="G364" t="s">
        <v>27</v>
      </c>
      <c r="H364">
        <v>0</v>
      </c>
      <c r="I364" t="s">
        <v>293</v>
      </c>
      <c r="J364" t="str">
        <f>IF(Table3_1[[#This Row],[Discount_applied]]=0,"No Discount","Discount Applied")</f>
        <v>No Discount</v>
      </c>
    </row>
    <row r="365" spans="1:10" x14ac:dyDescent="0.3">
      <c r="A365" t="s">
        <v>411</v>
      </c>
      <c r="B365" s="1">
        <v>45761</v>
      </c>
      <c r="C365" t="s">
        <v>307</v>
      </c>
      <c r="D365">
        <v>4</v>
      </c>
      <c r="E365">
        <v>100</v>
      </c>
      <c r="F365" t="s">
        <v>14</v>
      </c>
      <c r="G365" t="s">
        <v>257</v>
      </c>
      <c r="H365">
        <v>10</v>
      </c>
      <c r="I365" t="s">
        <v>296</v>
      </c>
      <c r="J365" t="str">
        <f>IF(Table3_1[[#This Row],[Discount_applied]]=0,"No Discount","Discount Applied")</f>
        <v>Discount Applied</v>
      </c>
    </row>
    <row r="366" spans="1:10" x14ac:dyDescent="0.3">
      <c r="A366" t="s">
        <v>411</v>
      </c>
      <c r="B366" s="1">
        <v>45761</v>
      </c>
      <c r="C366" t="s">
        <v>309</v>
      </c>
      <c r="D366">
        <v>2</v>
      </c>
      <c r="E366">
        <v>320</v>
      </c>
      <c r="F366" t="s">
        <v>26</v>
      </c>
      <c r="G366" t="s">
        <v>27</v>
      </c>
      <c r="H366">
        <v>0</v>
      </c>
      <c r="I366" t="s">
        <v>298</v>
      </c>
      <c r="J366" t="str">
        <f>IF(Table3_1[[#This Row],[Discount_applied]]=0,"No Discount","Discount Applied")</f>
        <v>No Discount</v>
      </c>
    </row>
    <row r="367" spans="1:10" x14ac:dyDescent="0.3">
      <c r="A367" t="s">
        <v>411</v>
      </c>
      <c r="B367" s="1">
        <v>45761</v>
      </c>
      <c r="C367" t="s">
        <v>272</v>
      </c>
      <c r="D367">
        <v>1</v>
      </c>
      <c r="E367">
        <v>350</v>
      </c>
      <c r="F367" t="s">
        <v>14</v>
      </c>
      <c r="G367" t="s">
        <v>15</v>
      </c>
      <c r="H367">
        <v>15</v>
      </c>
      <c r="I367" t="s">
        <v>287</v>
      </c>
      <c r="J367" t="str">
        <f>IF(Table3_1[[#This Row],[Discount_applied]]=0,"No Discount","Discount Applied")</f>
        <v>Discount Applied</v>
      </c>
    </row>
    <row r="368" spans="1:10" x14ac:dyDescent="0.3">
      <c r="A368" t="s">
        <v>411</v>
      </c>
      <c r="B368" s="1">
        <v>45761</v>
      </c>
      <c r="C368" t="s">
        <v>312</v>
      </c>
      <c r="D368">
        <v>2</v>
      </c>
      <c r="E368">
        <v>240</v>
      </c>
      <c r="F368" t="s">
        <v>26</v>
      </c>
      <c r="G368" t="s">
        <v>257</v>
      </c>
      <c r="H368">
        <v>0</v>
      </c>
      <c r="I368" t="s">
        <v>300</v>
      </c>
      <c r="J368" t="str">
        <f>IF(Table3_1[[#This Row],[Discount_applied]]=0,"No Discount","Discount Applied")</f>
        <v>No Discount</v>
      </c>
    </row>
    <row r="369" spans="1:10" x14ac:dyDescent="0.3">
      <c r="A369" t="s">
        <v>411</v>
      </c>
      <c r="B369" s="1">
        <v>45761</v>
      </c>
      <c r="C369" t="s">
        <v>314</v>
      </c>
      <c r="D369">
        <v>1</v>
      </c>
      <c r="E369">
        <v>300</v>
      </c>
      <c r="F369" t="s">
        <v>14</v>
      </c>
      <c r="G369" t="s">
        <v>27</v>
      </c>
      <c r="H369">
        <v>20</v>
      </c>
      <c r="I369" t="s">
        <v>290</v>
      </c>
      <c r="J369" t="str">
        <f>IF(Table3_1[[#This Row],[Discount_applied]]=0,"No Discount","Discount Applied")</f>
        <v>Discount Applied</v>
      </c>
    </row>
    <row r="370" spans="1:10" x14ac:dyDescent="0.3">
      <c r="A370" t="s">
        <v>411</v>
      </c>
      <c r="B370" s="1">
        <v>45761</v>
      </c>
      <c r="C370" t="s">
        <v>256</v>
      </c>
      <c r="D370">
        <v>3</v>
      </c>
      <c r="E370">
        <v>150</v>
      </c>
      <c r="F370" t="s">
        <v>26</v>
      </c>
      <c r="G370" t="s">
        <v>15</v>
      </c>
      <c r="H370">
        <v>0</v>
      </c>
      <c r="I370" t="s">
        <v>293</v>
      </c>
      <c r="J370" t="str">
        <f>IF(Table3_1[[#This Row],[Discount_applied]]=0,"No Discount","Discount Applied")</f>
        <v>No Discount</v>
      </c>
    </row>
    <row r="371" spans="1:10" x14ac:dyDescent="0.3">
      <c r="A371" t="s">
        <v>411</v>
      </c>
      <c r="B371" s="1">
        <v>45761</v>
      </c>
      <c r="C371" t="s">
        <v>251</v>
      </c>
      <c r="D371">
        <v>2</v>
      </c>
      <c r="E371">
        <v>400</v>
      </c>
      <c r="F371" t="s">
        <v>14</v>
      </c>
      <c r="G371" t="s">
        <v>27</v>
      </c>
      <c r="H371">
        <v>0</v>
      </c>
      <c r="I371" t="s">
        <v>296</v>
      </c>
      <c r="J371" t="str">
        <f>IF(Table3_1[[#This Row],[Discount_applied]]=0,"No Discount","Discount Applied")</f>
        <v>No Discount</v>
      </c>
    </row>
    <row r="372" spans="1:10" x14ac:dyDescent="0.3">
      <c r="A372" t="s">
        <v>411</v>
      </c>
      <c r="B372" s="1">
        <v>45761</v>
      </c>
      <c r="C372" t="s">
        <v>318</v>
      </c>
      <c r="D372">
        <v>1</v>
      </c>
      <c r="E372">
        <v>250</v>
      </c>
      <c r="F372" t="s">
        <v>26</v>
      </c>
      <c r="G372" t="s">
        <v>15</v>
      </c>
      <c r="H372">
        <v>30</v>
      </c>
      <c r="I372" t="s">
        <v>298</v>
      </c>
      <c r="J372" t="str">
        <f>IF(Table3_1[[#This Row],[Discount_applied]]=0,"No Discount","Discount Applied")</f>
        <v>Discount Applied</v>
      </c>
    </row>
    <row r="373" spans="1:10" x14ac:dyDescent="0.3">
      <c r="A373" t="s">
        <v>411</v>
      </c>
      <c r="B373" s="1">
        <v>45761</v>
      </c>
      <c r="C373" t="s">
        <v>280</v>
      </c>
      <c r="D373">
        <v>1</v>
      </c>
      <c r="E373">
        <v>150</v>
      </c>
      <c r="F373" t="s">
        <v>14</v>
      </c>
      <c r="G373" t="s">
        <v>257</v>
      </c>
      <c r="H373">
        <v>0</v>
      </c>
      <c r="I373" t="s">
        <v>287</v>
      </c>
      <c r="J373" t="str">
        <f>IF(Table3_1[[#This Row],[Discount_applied]]=0,"No Discount","Discount Applied")</f>
        <v>No Discount</v>
      </c>
    </row>
    <row r="374" spans="1:10" x14ac:dyDescent="0.3">
      <c r="A374" t="s">
        <v>411</v>
      </c>
      <c r="B374" s="1">
        <v>45761</v>
      </c>
      <c r="C374" t="s">
        <v>244</v>
      </c>
      <c r="D374">
        <v>2</v>
      </c>
      <c r="E374">
        <v>300</v>
      </c>
      <c r="F374" t="s">
        <v>26</v>
      </c>
      <c r="G374" t="s">
        <v>27</v>
      </c>
      <c r="H374">
        <v>0</v>
      </c>
      <c r="I374" t="s">
        <v>300</v>
      </c>
      <c r="J374" t="str">
        <f>IF(Table3_1[[#This Row],[Discount_applied]]=0,"No Discount","Discount Applied")</f>
        <v>No Discount</v>
      </c>
    </row>
    <row r="375" spans="1:10" x14ac:dyDescent="0.3">
      <c r="A375" t="s">
        <v>411</v>
      </c>
      <c r="B375" s="1">
        <v>45761</v>
      </c>
      <c r="C375" t="s">
        <v>322</v>
      </c>
      <c r="D375">
        <v>3</v>
      </c>
      <c r="E375">
        <v>180</v>
      </c>
      <c r="F375" t="s">
        <v>14</v>
      </c>
      <c r="G375" t="s">
        <v>15</v>
      </c>
      <c r="H375">
        <v>10</v>
      </c>
      <c r="I375" t="s">
        <v>290</v>
      </c>
      <c r="J375" t="str">
        <f>IF(Table3_1[[#This Row],[Discount_applied]]=0,"No Discount","Discount Applied")</f>
        <v>Discount Applied</v>
      </c>
    </row>
    <row r="376" spans="1:10" x14ac:dyDescent="0.3">
      <c r="A376" t="s">
        <v>411</v>
      </c>
      <c r="B376" s="1">
        <v>45761</v>
      </c>
      <c r="C376" t="s">
        <v>324</v>
      </c>
      <c r="D376">
        <v>2</v>
      </c>
      <c r="E376">
        <v>90</v>
      </c>
      <c r="F376" t="s">
        <v>26</v>
      </c>
      <c r="G376" t="s">
        <v>27</v>
      </c>
      <c r="H376">
        <v>0</v>
      </c>
      <c r="I376" t="s">
        <v>293</v>
      </c>
      <c r="J376" t="str">
        <f>IF(Table3_1[[#This Row],[Discount_applied]]=0,"No Discount","Discount Applied")</f>
        <v>No Discount</v>
      </c>
    </row>
    <row r="377" spans="1:10" x14ac:dyDescent="0.3">
      <c r="A377" t="s">
        <v>411</v>
      </c>
      <c r="B377" s="1">
        <v>45761</v>
      </c>
      <c r="C377" t="s">
        <v>326</v>
      </c>
      <c r="D377">
        <v>1</v>
      </c>
      <c r="E377">
        <v>320</v>
      </c>
      <c r="F377" t="s">
        <v>14</v>
      </c>
      <c r="G377" t="s">
        <v>257</v>
      </c>
      <c r="H377">
        <v>20</v>
      </c>
      <c r="I377" t="s">
        <v>296</v>
      </c>
      <c r="J377" t="str">
        <f>IF(Table3_1[[#This Row],[Discount_applied]]=0,"No Discount","Discount Applied")</f>
        <v>Discount Applied</v>
      </c>
    </row>
    <row r="378" spans="1:10" x14ac:dyDescent="0.3">
      <c r="A378" t="s">
        <v>411</v>
      </c>
      <c r="B378" s="1">
        <v>45761</v>
      </c>
      <c r="C378" t="s">
        <v>328</v>
      </c>
      <c r="D378">
        <v>3</v>
      </c>
      <c r="E378">
        <v>120</v>
      </c>
      <c r="F378" t="s">
        <v>26</v>
      </c>
      <c r="G378" t="s">
        <v>15</v>
      </c>
      <c r="H378">
        <v>0</v>
      </c>
      <c r="I378" t="s">
        <v>298</v>
      </c>
      <c r="J378" t="str">
        <f>IF(Table3_1[[#This Row],[Discount_applied]]=0,"No Discount","Discount Applied")</f>
        <v>No Discount</v>
      </c>
    </row>
    <row r="379" spans="1:10" x14ac:dyDescent="0.3">
      <c r="A379" t="s">
        <v>411</v>
      </c>
      <c r="B379" s="1">
        <v>45761</v>
      </c>
      <c r="C379" t="s">
        <v>283</v>
      </c>
      <c r="D379">
        <v>1</v>
      </c>
      <c r="E379">
        <v>450</v>
      </c>
      <c r="F379" t="s">
        <v>14</v>
      </c>
      <c r="G379" t="s">
        <v>27</v>
      </c>
      <c r="H379">
        <v>15</v>
      </c>
      <c r="I379" t="s">
        <v>287</v>
      </c>
      <c r="J379" t="str">
        <f>IF(Table3_1[[#This Row],[Discount_applied]]=0,"No Discount","Discount Applied")</f>
        <v>Discount Applied</v>
      </c>
    </row>
    <row r="380" spans="1:10" x14ac:dyDescent="0.3">
      <c r="A380" t="s">
        <v>411</v>
      </c>
      <c r="B380" s="1">
        <v>45761</v>
      </c>
      <c r="C380" t="s">
        <v>339</v>
      </c>
      <c r="D380">
        <v>1</v>
      </c>
      <c r="E380">
        <v>320</v>
      </c>
      <c r="F380" t="s">
        <v>26</v>
      </c>
      <c r="G380" t="s">
        <v>15</v>
      </c>
      <c r="H380">
        <v>0</v>
      </c>
      <c r="I380" t="s">
        <v>298</v>
      </c>
      <c r="J380" t="str">
        <f>IF(Table3_1[[#This Row],[Discount_applied]]=0,"No Discount","Discount Applied")</f>
        <v>No Discount</v>
      </c>
    </row>
    <row r="381" spans="1:10" x14ac:dyDescent="0.3">
      <c r="A381" t="s">
        <v>411</v>
      </c>
      <c r="B381" s="1">
        <v>45761</v>
      </c>
      <c r="C381" t="s">
        <v>256</v>
      </c>
      <c r="D381">
        <v>4</v>
      </c>
      <c r="E381">
        <v>200</v>
      </c>
      <c r="F381" t="s">
        <v>14</v>
      </c>
      <c r="G381" t="s">
        <v>15</v>
      </c>
      <c r="H381">
        <v>0</v>
      </c>
      <c r="I381" t="s">
        <v>287</v>
      </c>
      <c r="J381" t="str">
        <f>IF(Table3_1[[#This Row],[Discount_applied]]=0,"No Discount","Discount Applied")</f>
        <v>No Discount</v>
      </c>
    </row>
    <row r="382" spans="1:10" x14ac:dyDescent="0.3">
      <c r="A382" t="s">
        <v>411</v>
      </c>
      <c r="B382" s="1">
        <v>45761</v>
      </c>
      <c r="C382" t="s">
        <v>260</v>
      </c>
      <c r="D382">
        <v>1</v>
      </c>
      <c r="E382">
        <v>250</v>
      </c>
      <c r="F382" t="s">
        <v>26</v>
      </c>
      <c r="G382" t="s">
        <v>27</v>
      </c>
      <c r="H382">
        <v>30</v>
      </c>
      <c r="I382" t="s">
        <v>300</v>
      </c>
      <c r="J382" t="str">
        <f>IF(Table3_1[[#This Row],[Discount_applied]]=0,"No Discount","Discount Applied")</f>
        <v>Discount Applied</v>
      </c>
    </row>
    <row r="383" spans="1:10" x14ac:dyDescent="0.3">
      <c r="A383" t="s">
        <v>411</v>
      </c>
      <c r="B383" s="1">
        <v>45761</v>
      </c>
      <c r="C383" t="s">
        <v>263</v>
      </c>
      <c r="D383">
        <v>2</v>
      </c>
      <c r="E383">
        <v>180</v>
      </c>
      <c r="F383" t="s">
        <v>14</v>
      </c>
      <c r="G383" t="s">
        <v>257</v>
      </c>
      <c r="H383">
        <v>0</v>
      </c>
      <c r="I383" t="s">
        <v>290</v>
      </c>
      <c r="J383" t="str">
        <f>IF(Table3_1[[#This Row],[Discount_applied]]=0,"No Discount","Discount Applied")</f>
        <v>No Discount</v>
      </c>
    </row>
    <row r="384" spans="1:10" x14ac:dyDescent="0.3">
      <c r="A384" t="s">
        <v>411</v>
      </c>
      <c r="B384" s="1">
        <v>45761</v>
      </c>
      <c r="C384" t="s">
        <v>251</v>
      </c>
      <c r="D384">
        <v>1</v>
      </c>
      <c r="E384">
        <v>200</v>
      </c>
      <c r="F384" t="s">
        <v>26</v>
      </c>
      <c r="G384" t="s">
        <v>27</v>
      </c>
      <c r="H384">
        <v>0</v>
      </c>
      <c r="I384" t="s">
        <v>293</v>
      </c>
      <c r="J384" t="str">
        <f>IF(Table3_1[[#This Row],[Discount_applied]]=0,"No Discount","Discount Applied")</f>
        <v>No Discount</v>
      </c>
    </row>
    <row r="385" spans="1:10" x14ac:dyDescent="0.3">
      <c r="A385" t="s">
        <v>411</v>
      </c>
      <c r="B385" s="1">
        <v>45761</v>
      </c>
      <c r="C385" t="s">
        <v>266</v>
      </c>
      <c r="D385">
        <v>2</v>
      </c>
      <c r="E385">
        <v>500</v>
      </c>
      <c r="F385" t="s">
        <v>14</v>
      </c>
      <c r="G385" t="s">
        <v>15</v>
      </c>
      <c r="H385">
        <v>15</v>
      </c>
      <c r="I385" t="s">
        <v>296</v>
      </c>
      <c r="J385" t="str">
        <f>IF(Table3_1[[#This Row],[Discount_applied]]=0,"No Discount","Discount Applied")</f>
        <v>Discount Applied</v>
      </c>
    </row>
    <row r="386" spans="1:10" x14ac:dyDescent="0.3">
      <c r="A386" t="s">
        <v>411</v>
      </c>
      <c r="B386" s="1">
        <v>45761</v>
      </c>
      <c r="C386" t="s">
        <v>269</v>
      </c>
      <c r="D386">
        <v>1</v>
      </c>
      <c r="E386">
        <v>180</v>
      </c>
      <c r="F386" t="s">
        <v>26</v>
      </c>
      <c r="G386" t="s">
        <v>27</v>
      </c>
      <c r="H386">
        <v>0</v>
      </c>
      <c r="I386" t="s">
        <v>298</v>
      </c>
      <c r="J386" t="str">
        <f>IF(Table3_1[[#This Row],[Discount_applied]]=0,"No Discount","Discount Applied")</f>
        <v>No Discount</v>
      </c>
    </row>
    <row r="387" spans="1:10" x14ac:dyDescent="0.3">
      <c r="A387" t="s">
        <v>411</v>
      </c>
      <c r="B387" s="1">
        <v>45761</v>
      </c>
      <c r="C387" t="s">
        <v>244</v>
      </c>
      <c r="D387">
        <v>3</v>
      </c>
      <c r="E387">
        <v>450</v>
      </c>
      <c r="F387" t="s">
        <v>14</v>
      </c>
      <c r="G387" t="s">
        <v>257</v>
      </c>
      <c r="H387">
        <v>20</v>
      </c>
      <c r="I387" t="s">
        <v>287</v>
      </c>
      <c r="J387" t="str">
        <f>IF(Table3_1[[#This Row],[Discount_applied]]=0,"No Discount","Discount Applied")</f>
        <v>Discount Applied</v>
      </c>
    </row>
    <row r="388" spans="1:10" x14ac:dyDescent="0.3">
      <c r="A388" t="s">
        <v>411</v>
      </c>
      <c r="B388" s="1">
        <v>45761</v>
      </c>
      <c r="C388" t="s">
        <v>272</v>
      </c>
      <c r="D388">
        <v>1</v>
      </c>
      <c r="E388">
        <v>300</v>
      </c>
      <c r="F388" t="s">
        <v>26</v>
      </c>
      <c r="G388" t="s">
        <v>15</v>
      </c>
      <c r="H388">
        <v>0</v>
      </c>
      <c r="I388" t="s">
        <v>300</v>
      </c>
      <c r="J388" t="str">
        <f>IF(Table3_1[[#This Row],[Discount_applied]]=0,"No Discount","Discount Applied")</f>
        <v>No Discount</v>
      </c>
    </row>
    <row r="389" spans="1:10" x14ac:dyDescent="0.3">
      <c r="A389" t="s">
        <v>411</v>
      </c>
      <c r="B389" s="1">
        <v>45761</v>
      </c>
      <c r="C389" t="s">
        <v>274</v>
      </c>
      <c r="D389">
        <v>2</v>
      </c>
      <c r="E389">
        <v>260</v>
      </c>
      <c r="F389" t="s">
        <v>14</v>
      </c>
      <c r="G389" t="s">
        <v>27</v>
      </c>
      <c r="H389">
        <v>0</v>
      </c>
      <c r="I389" t="s">
        <v>290</v>
      </c>
      <c r="J389" t="str">
        <f>IF(Table3_1[[#This Row],[Discount_applied]]=0,"No Discount","Discount Applied")</f>
        <v>No Discount</v>
      </c>
    </row>
    <row r="390" spans="1:10" x14ac:dyDescent="0.3">
      <c r="A390" t="s">
        <v>411</v>
      </c>
      <c r="B390" s="1">
        <v>45761</v>
      </c>
      <c r="C390" t="s">
        <v>276</v>
      </c>
      <c r="D390">
        <v>1</v>
      </c>
      <c r="E390">
        <v>350</v>
      </c>
      <c r="F390" t="s">
        <v>26</v>
      </c>
      <c r="G390" t="s">
        <v>15</v>
      </c>
      <c r="H390">
        <v>25</v>
      </c>
      <c r="I390" t="s">
        <v>293</v>
      </c>
      <c r="J390" t="str">
        <f>IF(Table3_1[[#This Row],[Discount_applied]]=0,"No Discount","Discount Applied")</f>
        <v>Discount Applied</v>
      </c>
    </row>
    <row r="391" spans="1:10" x14ac:dyDescent="0.3">
      <c r="A391" t="s">
        <v>411</v>
      </c>
      <c r="B391" s="1">
        <v>45761</v>
      </c>
      <c r="C391" t="s">
        <v>278</v>
      </c>
      <c r="D391">
        <v>3</v>
      </c>
      <c r="E391">
        <v>420</v>
      </c>
      <c r="F391" t="s">
        <v>14</v>
      </c>
      <c r="G391" t="s">
        <v>257</v>
      </c>
      <c r="H391">
        <v>0</v>
      </c>
      <c r="I391" t="s">
        <v>296</v>
      </c>
      <c r="J391" t="str">
        <f>IF(Table3_1[[#This Row],[Discount_applied]]=0,"No Discount","Discount Applied")</f>
        <v>No Discount</v>
      </c>
    </row>
    <row r="392" spans="1:10" x14ac:dyDescent="0.3">
      <c r="A392" t="s">
        <v>411</v>
      </c>
      <c r="B392" s="1">
        <v>45761</v>
      </c>
      <c r="C392" t="s">
        <v>286</v>
      </c>
      <c r="D392">
        <v>2</v>
      </c>
      <c r="E392">
        <v>500</v>
      </c>
      <c r="F392" t="s">
        <v>26</v>
      </c>
      <c r="G392" t="s">
        <v>27</v>
      </c>
      <c r="H392">
        <v>0</v>
      </c>
      <c r="I392" t="s">
        <v>298</v>
      </c>
      <c r="J392" t="str">
        <f>IF(Table3_1[[#This Row],[Discount_applied]]=0,"No Discount","Discount Applied")</f>
        <v>No Discount</v>
      </c>
    </row>
    <row r="393" spans="1:10" x14ac:dyDescent="0.3">
      <c r="A393" t="s">
        <v>411</v>
      </c>
      <c r="B393" s="1">
        <v>45761</v>
      </c>
      <c r="C393" t="s">
        <v>289</v>
      </c>
      <c r="D393">
        <v>1</v>
      </c>
      <c r="E393">
        <v>220</v>
      </c>
      <c r="F393" t="s">
        <v>14</v>
      </c>
      <c r="G393" t="s">
        <v>27</v>
      </c>
      <c r="H393">
        <v>10</v>
      </c>
      <c r="I393" t="s">
        <v>287</v>
      </c>
      <c r="J393" t="str">
        <f>IF(Table3_1[[#This Row],[Discount_applied]]=0,"No Discount","Discount Applied")</f>
        <v>Discount Applied</v>
      </c>
    </row>
    <row r="394" spans="1:10" x14ac:dyDescent="0.3">
      <c r="A394" t="s">
        <v>411</v>
      </c>
      <c r="B394" s="1">
        <v>45761</v>
      </c>
      <c r="C394" t="s">
        <v>292</v>
      </c>
      <c r="D394">
        <v>3</v>
      </c>
      <c r="E394">
        <v>180</v>
      </c>
      <c r="F394" t="s">
        <v>26</v>
      </c>
      <c r="G394" t="s">
        <v>257</v>
      </c>
      <c r="H394">
        <v>0</v>
      </c>
      <c r="I394" t="s">
        <v>300</v>
      </c>
      <c r="J394" t="str">
        <f>IF(Table3_1[[#This Row],[Discount_applied]]=0,"No Discount","Discount Applied")</f>
        <v>No Discount</v>
      </c>
    </row>
    <row r="395" spans="1:10" x14ac:dyDescent="0.3">
      <c r="A395" t="s">
        <v>411</v>
      </c>
      <c r="B395" s="1">
        <v>45761</v>
      </c>
      <c r="C395" t="s">
        <v>295</v>
      </c>
      <c r="D395">
        <v>1</v>
      </c>
      <c r="E395">
        <v>280</v>
      </c>
      <c r="F395" t="s">
        <v>14</v>
      </c>
      <c r="G395" t="s">
        <v>15</v>
      </c>
      <c r="H395">
        <v>0</v>
      </c>
      <c r="I395" t="s">
        <v>290</v>
      </c>
      <c r="J395" t="str">
        <f>IF(Table3_1[[#This Row],[Discount_applied]]=0,"No Discount","Discount Applied")</f>
        <v>No Discount</v>
      </c>
    </row>
    <row r="396" spans="1:10" x14ac:dyDescent="0.3">
      <c r="A396" t="s">
        <v>411</v>
      </c>
      <c r="B396" s="1">
        <v>45761</v>
      </c>
      <c r="C396" t="s">
        <v>266</v>
      </c>
      <c r="D396">
        <v>2</v>
      </c>
      <c r="E396">
        <v>500</v>
      </c>
      <c r="F396" t="s">
        <v>26</v>
      </c>
      <c r="G396" t="s">
        <v>15</v>
      </c>
      <c r="H396">
        <v>15</v>
      </c>
      <c r="I396" t="s">
        <v>293</v>
      </c>
      <c r="J396" t="str">
        <f>IF(Table3_1[[#This Row],[Discount_applied]]=0,"No Discount","Discount Applied")</f>
        <v>Discount Applied</v>
      </c>
    </row>
    <row r="397" spans="1:10" x14ac:dyDescent="0.3">
      <c r="A397" t="s">
        <v>411</v>
      </c>
      <c r="B397" s="1">
        <v>45761</v>
      </c>
      <c r="C397" t="s">
        <v>278</v>
      </c>
      <c r="D397">
        <v>1</v>
      </c>
      <c r="E397">
        <v>160</v>
      </c>
      <c r="F397" t="s">
        <v>14</v>
      </c>
      <c r="G397" t="s">
        <v>257</v>
      </c>
      <c r="H397">
        <v>0</v>
      </c>
      <c r="I397" t="s">
        <v>296</v>
      </c>
      <c r="J397" t="str">
        <f>IF(Table3_1[[#This Row],[Discount_applied]]=0,"No Discount","Discount Applied")</f>
        <v>No Discount</v>
      </c>
    </row>
    <row r="398" spans="1:10" x14ac:dyDescent="0.3">
      <c r="A398" t="s">
        <v>411</v>
      </c>
      <c r="B398" s="1">
        <v>45761</v>
      </c>
      <c r="C398" t="s">
        <v>302</v>
      </c>
      <c r="D398">
        <v>1</v>
      </c>
      <c r="E398">
        <v>380</v>
      </c>
      <c r="F398" t="s">
        <v>26</v>
      </c>
      <c r="G398" t="s">
        <v>27</v>
      </c>
      <c r="H398">
        <v>0</v>
      </c>
      <c r="I398" t="s">
        <v>298</v>
      </c>
      <c r="J398" t="str">
        <f>IF(Table3_1[[#This Row],[Discount_applied]]=0,"No Discount","Discount Applied")</f>
        <v>No Discount</v>
      </c>
    </row>
    <row r="399" spans="1:10" x14ac:dyDescent="0.3">
      <c r="A399" t="s">
        <v>411</v>
      </c>
      <c r="B399" s="1">
        <v>45761</v>
      </c>
      <c r="C399" t="s">
        <v>269</v>
      </c>
      <c r="D399">
        <v>2</v>
      </c>
      <c r="E399">
        <v>200</v>
      </c>
      <c r="F399" t="s">
        <v>14</v>
      </c>
      <c r="G399" t="s">
        <v>27</v>
      </c>
      <c r="H399">
        <v>10</v>
      </c>
      <c r="I399" t="s">
        <v>287</v>
      </c>
      <c r="J399" t="str">
        <f>IF(Table3_1[[#This Row],[Discount_applied]]=0,"No Discount","Discount Applied")</f>
        <v>Discount Applied</v>
      </c>
    </row>
    <row r="400" spans="1:10" x14ac:dyDescent="0.3">
      <c r="A400" t="s">
        <v>411</v>
      </c>
      <c r="B400" s="1">
        <v>45761</v>
      </c>
      <c r="C400" t="s">
        <v>305</v>
      </c>
      <c r="D400">
        <v>1</v>
      </c>
      <c r="E400">
        <v>140</v>
      </c>
      <c r="F400" t="s">
        <v>26</v>
      </c>
      <c r="G400" t="s">
        <v>15</v>
      </c>
      <c r="H400">
        <v>0</v>
      </c>
      <c r="I400" t="s">
        <v>300</v>
      </c>
      <c r="J400" t="str">
        <f>IF(Table3_1[[#This Row],[Discount_applied]]=0,"No Discount","Discount Applied")</f>
        <v>No Discount</v>
      </c>
    </row>
    <row r="401" spans="1:10" x14ac:dyDescent="0.3">
      <c r="A401" t="s">
        <v>411</v>
      </c>
      <c r="B401" s="1">
        <v>45761</v>
      </c>
      <c r="C401" t="s">
        <v>307</v>
      </c>
      <c r="D401">
        <v>4</v>
      </c>
      <c r="E401">
        <v>100</v>
      </c>
      <c r="F401" t="s">
        <v>14</v>
      </c>
      <c r="G401" t="s">
        <v>27</v>
      </c>
      <c r="H401">
        <v>0</v>
      </c>
      <c r="I401" t="s">
        <v>290</v>
      </c>
      <c r="J401" t="str">
        <f>IF(Table3_1[[#This Row],[Discount_applied]]=0,"No Discount","Discount Applied")</f>
        <v>No Discount</v>
      </c>
    </row>
    <row r="402" spans="1:10" x14ac:dyDescent="0.3">
      <c r="A402" t="s">
        <v>411</v>
      </c>
      <c r="B402" s="1">
        <v>45761</v>
      </c>
      <c r="C402" t="s">
        <v>295</v>
      </c>
      <c r="D402">
        <v>1</v>
      </c>
      <c r="E402">
        <v>280</v>
      </c>
      <c r="F402" t="s">
        <v>14</v>
      </c>
      <c r="G402" t="s">
        <v>27</v>
      </c>
      <c r="H402">
        <v>20</v>
      </c>
      <c r="I402" t="s">
        <v>287</v>
      </c>
      <c r="J402" t="str">
        <f>IF(Table3_1[[#This Row],[Discount_applied]]=0,"No Discount","Discount Applied")</f>
        <v>Discount Applied</v>
      </c>
    </row>
    <row r="403" spans="1:10" x14ac:dyDescent="0.3">
      <c r="A403" t="s">
        <v>411</v>
      </c>
      <c r="B403" s="1">
        <v>45761</v>
      </c>
      <c r="C403" t="s">
        <v>286</v>
      </c>
      <c r="D403">
        <v>2</v>
      </c>
      <c r="E403">
        <v>500</v>
      </c>
      <c r="F403" t="s">
        <v>26</v>
      </c>
      <c r="G403" t="s">
        <v>15</v>
      </c>
      <c r="H403">
        <v>0</v>
      </c>
      <c r="I403" t="s">
        <v>290</v>
      </c>
      <c r="J403" t="str">
        <f>IF(Table3_1[[#This Row],[Discount_applied]]=0,"No Discount","Discount Applied")</f>
        <v>No Discount</v>
      </c>
    </row>
    <row r="404" spans="1:10" x14ac:dyDescent="0.3">
      <c r="A404" t="s">
        <v>411</v>
      </c>
      <c r="B404" s="1">
        <v>45761</v>
      </c>
      <c r="C404" t="s">
        <v>289</v>
      </c>
      <c r="D404">
        <v>1</v>
      </c>
      <c r="E404">
        <v>220</v>
      </c>
      <c r="F404" t="s">
        <v>14</v>
      </c>
      <c r="G404" t="s">
        <v>257</v>
      </c>
      <c r="H404">
        <v>0</v>
      </c>
      <c r="I404" t="s">
        <v>293</v>
      </c>
      <c r="J404" t="str">
        <f>IF(Table3_1[[#This Row],[Discount_applied]]=0,"No Discount","Discount Applied")</f>
        <v>No Discount</v>
      </c>
    </row>
    <row r="405" spans="1:10" x14ac:dyDescent="0.3">
      <c r="A405" t="s">
        <v>411</v>
      </c>
      <c r="B405" s="1">
        <v>45761</v>
      </c>
      <c r="C405" t="s">
        <v>292</v>
      </c>
      <c r="D405">
        <v>3</v>
      </c>
      <c r="E405">
        <v>180</v>
      </c>
      <c r="F405" t="s">
        <v>26</v>
      </c>
      <c r="G405" t="s">
        <v>27</v>
      </c>
      <c r="H405">
        <v>0</v>
      </c>
      <c r="I405" t="s">
        <v>296</v>
      </c>
      <c r="J405" t="str">
        <f>IF(Table3_1[[#This Row],[Discount_applied]]=0,"No Discount","Discount Applied")</f>
        <v>No Discount</v>
      </c>
    </row>
    <row r="406" spans="1:10" x14ac:dyDescent="0.3">
      <c r="A406" t="s">
        <v>411</v>
      </c>
      <c r="B406" s="1">
        <v>45761</v>
      </c>
      <c r="C406" t="s">
        <v>295</v>
      </c>
      <c r="D406">
        <v>1</v>
      </c>
      <c r="E406">
        <v>280</v>
      </c>
      <c r="F406" t="s">
        <v>14</v>
      </c>
      <c r="G406" t="s">
        <v>15</v>
      </c>
      <c r="H406">
        <v>10</v>
      </c>
      <c r="I406" t="s">
        <v>298</v>
      </c>
      <c r="J406" t="str">
        <f>IF(Table3_1[[#This Row],[Discount_applied]]=0,"No Discount","Discount Applied")</f>
        <v>Discount Applied</v>
      </c>
    </row>
    <row r="407" spans="1:10" x14ac:dyDescent="0.3">
      <c r="A407" t="s">
        <v>411</v>
      </c>
      <c r="B407" s="1">
        <v>45761</v>
      </c>
      <c r="C407" t="s">
        <v>266</v>
      </c>
      <c r="D407">
        <v>2</v>
      </c>
      <c r="E407">
        <v>500</v>
      </c>
      <c r="F407" t="s">
        <v>26</v>
      </c>
      <c r="G407" t="s">
        <v>27</v>
      </c>
      <c r="H407">
        <v>0</v>
      </c>
      <c r="I407" t="s">
        <v>300</v>
      </c>
      <c r="J407" t="str">
        <f>IF(Table3_1[[#This Row],[Discount_applied]]=0,"No Discount","Discount Applied")</f>
        <v>No Discount</v>
      </c>
    </row>
    <row r="408" spans="1:10" x14ac:dyDescent="0.3">
      <c r="A408" t="s">
        <v>411</v>
      </c>
      <c r="B408" s="1">
        <v>45761</v>
      </c>
      <c r="C408" t="s">
        <v>278</v>
      </c>
      <c r="D408">
        <v>1</v>
      </c>
      <c r="E408">
        <v>160</v>
      </c>
      <c r="F408" t="s">
        <v>14</v>
      </c>
      <c r="G408" t="s">
        <v>257</v>
      </c>
      <c r="H408">
        <v>15</v>
      </c>
      <c r="I408" t="s">
        <v>287</v>
      </c>
      <c r="J408" t="str">
        <f>IF(Table3_1[[#This Row],[Discount_applied]]=0,"No Discount","Discount Applied")</f>
        <v>Discount Applied</v>
      </c>
    </row>
    <row r="409" spans="1:10" x14ac:dyDescent="0.3">
      <c r="A409" t="s">
        <v>411</v>
      </c>
      <c r="B409" s="1">
        <v>45761</v>
      </c>
      <c r="C409" t="s">
        <v>302</v>
      </c>
      <c r="D409">
        <v>1</v>
      </c>
      <c r="E409">
        <v>380</v>
      </c>
      <c r="F409" t="s">
        <v>26</v>
      </c>
      <c r="G409" t="s">
        <v>15</v>
      </c>
      <c r="H409">
        <v>0</v>
      </c>
      <c r="I409" t="s">
        <v>290</v>
      </c>
      <c r="J409" t="str">
        <f>IF(Table3_1[[#This Row],[Discount_applied]]=0,"No Discount","Discount Applied")</f>
        <v>No Discount</v>
      </c>
    </row>
    <row r="410" spans="1:10" x14ac:dyDescent="0.3">
      <c r="A410" t="s">
        <v>411</v>
      </c>
      <c r="B410" s="1">
        <v>45761</v>
      </c>
      <c r="C410" t="s">
        <v>269</v>
      </c>
      <c r="D410">
        <v>2</v>
      </c>
      <c r="E410">
        <v>200</v>
      </c>
      <c r="F410" t="s">
        <v>14</v>
      </c>
      <c r="G410" t="s">
        <v>27</v>
      </c>
      <c r="H410">
        <v>0</v>
      </c>
      <c r="I410" t="s">
        <v>293</v>
      </c>
      <c r="J410" t="str">
        <f>IF(Table3_1[[#This Row],[Discount_applied]]=0,"No Discount","Discount Applied")</f>
        <v>No Discount</v>
      </c>
    </row>
    <row r="411" spans="1:10" x14ac:dyDescent="0.3">
      <c r="A411" t="s">
        <v>411</v>
      </c>
      <c r="B411" s="1">
        <v>45761</v>
      </c>
      <c r="C411" t="s">
        <v>305</v>
      </c>
      <c r="D411">
        <v>1</v>
      </c>
      <c r="E411">
        <v>140</v>
      </c>
      <c r="F411" t="s">
        <v>26</v>
      </c>
      <c r="G411" t="s">
        <v>27</v>
      </c>
      <c r="H411">
        <v>20</v>
      </c>
      <c r="I411" t="s">
        <v>296</v>
      </c>
      <c r="J411" t="str">
        <f>IF(Table3_1[[#This Row],[Discount_applied]]=0,"No Discount","Discount Applied")</f>
        <v>Discount Applied</v>
      </c>
    </row>
    <row r="412" spans="1:10" x14ac:dyDescent="0.3">
      <c r="A412" t="s">
        <v>411</v>
      </c>
      <c r="B412" s="1">
        <v>45761</v>
      </c>
      <c r="C412" t="s">
        <v>307</v>
      </c>
      <c r="D412">
        <v>4</v>
      </c>
      <c r="E412">
        <v>100</v>
      </c>
      <c r="F412" t="s">
        <v>14</v>
      </c>
      <c r="G412" t="s">
        <v>257</v>
      </c>
      <c r="H412">
        <v>0</v>
      </c>
      <c r="I412" t="s">
        <v>298</v>
      </c>
      <c r="J412" t="str">
        <f>IF(Table3_1[[#This Row],[Discount_applied]]=0,"No Discount","Discount Applied")</f>
        <v>No Discount</v>
      </c>
    </row>
    <row r="413" spans="1:10" x14ac:dyDescent="0.3">
      <c r="A413" t="s">
        <v>411</v>
      </c>
      <c r="B413" s="1">
        <v>45761</v>
      </c>
      <c r="C413" t="s">
        <v>309</v>
      </c>
      <c r="D413">
        <v>2</v>
      </c>
      <c r="E413">
        <v>320</v>
      </c>
      <c r="F413" t="s">
        <v>26</v>
      </c>
      <c r="G413" t="s">
        <v>15</v>
      </c>
      <c r="H413">
        <v>0</v>
      </c>
      <c r="I413" t="s">
        <v>287</v>
      </c>
      <c r="J413" t="str">
        <f>IF(Table3_1[[#This Row],[Discount_applied]]=0,"No Discount","Discount Applied")</f>
        <v>No Discount</v>
      </c>
    </row>
    <row r="414" spans="1:10" x14ac:dyDescent="0.3">
      <c r="A414" t="s">
        <v>411</v>
      </c>
      <c r="B414" s="1">
        <v>45761</v>
      </c>
      <c r="C414" t="s">
        <v>272</v>
      </c>
      <c r="D414">
        <v>1</v>
      </c>
      <c r="E414">
        <v>350</v>
      </c>
      <c r="F414" t="s">
        <v>14</v>
      </c>
      <c r="G414" t="s">
        <v>27</v>
      </c>
      <c r="H414">
        <v>25</v>
      </c>
      <c r="I414" t="s">
        <v>300</v>
      </c>
      <c r="J414" t="str">
        <f>IF(Table3_1[[#This Row],[Discount_applied]]=0,"No Discount","Discount Applied")</f>
        <v>Discount Applied</v>
      </c>
    </row>
    <row r="415" spans="1:10" x14ac:dyDescent="0.3">
      <c r="A415" t="s">
        <v>411</v>
      </c>
      <c r="B415" s="1">
        <v>45761</v>
      </c>
      <c r="C415" t="s">
        <v>312</v>
      </c>
      <c r="D415">
        <v>2</v>
      </c>
      <c r="E415">
        <v>240</v>
      </c>
      <c r="F415" t="s">
        <v>26</v>
      </c>
      <c r="G415" t="s">
        <v>27</v>
      </c>
      <c r="H415">
        <v>0</v>
      </c>
      <c r="I415" t="s">
        <v>290</v>
      </c>
      <c r="J415" t="str">
        <f>IF(Table3_1[[#This Row],[Discount_applied]]=0,"No Discount","Discount Applied")</f>
        <v>No Discount</v>
      </c>
    </row>
    <row r="416" spans="1:10" x14ac:dyDescent="0.3">
      <c r="A416" t="s">
        <v>411</v>
      </c>
      <c r="B416" s="1">
        <v>45761</v>
      </c>
      <c r="C416" t="s">
        <v>314</v>
      </c>
      <c r="D416">
        <v>1</v>
      </c>
      <c r="E416">
        <v>300</v>
      </c>
      <c r="F416" t="s">
        <v>14</v>
      </c>
      <c r="G416" t="s">
        <v>15</v>
      </c>
      <c r="H416">
        <v>0</v>
      </c>
      <c r="I416" t="s">
        <v>293</v>
      </c>
      <c r="J416" t="str">
        <f>IF(Table3_1[[#This Row],[Discount_applied]]=0,"No Discount","Discount Applied")</f>
        <v>No Discount</v>
      </c>
    </row>
    <row r="417" spans="1:10" x14ac:dyDescent="0.3">
      <c r="A417" t="s">
        <v>411</v>
      </c>
      <c r="B417" s="1">
        <v>45761</v>
      </c>
      <c r="C417" t="s">
        <v>256</v>
      </c>
      <c r="D417">
        <v>3</v>
      </c>
      <c r="E417">
        <v>150</v>
      </c>
      <c r="F417" t="s">
        <v>26</v>
      </c>
      <c r="G417" t="s">
        <v>27</v>
      </c>
      <c r="H417">
        <v>10</v>
      </c>
      <c r="I417" t="s">
        <v>296</v>
      </c>
      <c r="J417" t="str">
        <f>IF(Table3_1[[#This Row],[Discount_applied]]=0,"No Discount","Discount Applied")</f>
        <v>Discount Applied</v>
      </c>
    </row>
    <row r="418" spans="1:10" x14ac:dyDescent="0.3">
      <c r="A418" t="s">
        <v>411</v>
      </c>
      <c r="B418" s="1">
        <v>45761</v>
      </c>
      <c r="C418" t="s">
        <v>251</v>
      </c>
      <c r="D418">
        <v>2</v>
      </c>
      <c r="E418">
        <v>400</v>
      </c>
      <c r="F418" t="s">
        <v>14</v>
      </c>
      <c r="G418" t="s">
        <v>257</v>
      </c>
      <c r="H418">
        <v>0</v>
      </c>
      <c r="I418" t="s">
        <v>298</v>
      </c>
      <c r="J418" t="str">
        <f>IF(Table3_1[[#This Row],[Discount_applied]]=0,"No Discount","Discount Applied")</f>
        <v>No Discount</v>
      </c>
    </row>
    <row r="419" spans="1:10" x14ac:dyDescent="0.3">
      <c r="A419" t="s">
        <v>411</v>
      </c>
      <c r="B419" s="1">
        <v>45761</v>
      </c>
      <c r="C419" t="s">
        <v>318</v>
      </c>
      <c r="D419">
        <v>1</v>
      </c>
      <c r="E419">
        <v>250</v>
      </c>
      <c r="F419" t="s">
        <v>26</v>
      </c>
      <c r="G419" t="s">
        <v>15</v>
      </c>
      <c r="H419">
        <v>0</v>
      </c>
      <c r="I419" t="s">
        <v>287</v>
      </c>
      <c r="J419" t="str">
        <f>IF(Table3_1[[#This Row],[Discount_applied]]=0,"No Discount","Discount Applied")</f>
        <v>No Discount</v>
      </c>
    </row>
    <row r="420" spans="1:10" x14ac:dyDescent="0.3">
      <c r="A420" t="s">
        <v>411</v>
      </c>
      <c r="B420" s="1">
        <v>45761</v>
      </c>
      <c r="C420" t="s">
        <v>280</v>
      </c>
      <c r="D420">
        <v>1</v>
      </c>
      <c r="E420">
        <v>150</v>
      </c>
      <c r="F420" t="s">
        <v>14</v>
      </c>
      <c r="G420" t="s">
        <v>27</v>
      </c>
      <c r="H420">
        <v>15</v>
      </c>
      <c r="I420" t="s">
        <v>300</v>
      </c>
      <c r="J420" t="str">
        <f>IF(Table3_1[[#This Row],[Discount_applied]]=0,"No Discount","Discount Applied")</f>
        <v>Discount Applied</v>
      </c>
    </row>
    <row r="421" spans="1:10" x14ac:dyDescent="0.3">
      <c r="A421" t="s">
        <v>411</v>
      </c>
      <c r="B421" s="1">
        <v>45761</v>
      </c>
      <c r="C421" t="s">
        <v>244</v>
      </c>
      <c r="D421">
        <v>2</v>
      </c>
      <c r="E421">
        <v>300</v>
      </c>
      <c r="F421" t="s">
        <v>26</v>
      </c>
      <c r="G421" t="s">
        <v>27</v>
      </c>
      <c r="H421">
        <v>0</v>
      </c>
      <c r="I421" t="s">
        <v>290</v>
      </c>
      <c r="J421" t="str">
        <f>IF(Table3_1[[#This Row],[Discount_applied]]=0,"No Discount","Discount Applied")</f>
        <v>No Discount</v>
      </c>
    </row>
    <row r="422" spans="1:10" x14ac:dyDescent="0.3">
      <c r="A422" t="s">
        <v>411</v>
      </c>
      <c r="B422" s="1">
        <v>45761</v>
      </c>
      <c r="C422" t="s">
        <v>322</v>
      </c>
      <c r="D422">
        <v>3</v>
      </c>
      <c r="E422">
        <v>180</v>
      </c>
      <c r="F422" t="s">
        <v>14</v>
      </c>
      <c r="G422" t="s">
        <v>15</v>
      </c>
      <c r="H422">
        <v>0</v>
      </c>
      <c r="I422" t="s">
        <v>293</v>
      </c>
      <c r="J422" t="str">
        <f>IF(Table3_1[[#This Row],[Discount_applied]]=0,"No Discount","Discount Applied")</f>
        <v>No Discount</v>
      </c>
    </row>
    <row r="423" spans="1:10" x14ac:dyDescent="0.3">
      <c r="A423" t="s">
        <v>411</v>
      </c>
      <c r="B423" s="1">
        <v>45761</v>
      </c>
      <c r="C423" t="s">
        <v>324</v>
      </c>
      <c r="D423">
        <v>2</v>
      </c>
      <c r="E423">
        <v>90</v>
      </c>
      <c r="F423" t="s">
        <v>26</v>
      </c>
      <c r="G423" t="s">
        <v>27</v>
      </c>
      <c r="H423">
        <v>20</v>
      </c>
      <c r="I423" t="s">
        <v>296</v>
      </c>
      <c r="J423" t="str">
        <f>IF(Table3_1[[#This Row],[Discount_applied]]=0,"No Discount","Discount Applied")</f>
        <v>Discount Applied</v>
      </c>
    </row>
    <row r="424" spans="1:10" x14ac:dyDescent="0.3">
      <c r="A424" t="s">
        <v>411</v>
      </c>
      <c r="B424" s="1">
        <v>45761</v>
      </c>
      <c r="C424" t="s">
        <v>326</v>
      </c>
      <c r="D424">
        <v>1</v>
      </c>
      <c r="E424">
        <v>320</v>
      </c>
      <c r="F424" t="s">
        <v>14</v>
      </c>
      <c r="G424" t="s">
        <v>257</v>
      </c>
      <c r="H424">
        <v>0</v>
      </c>
      <c r="I424" t="s">
        <v>298</v>
      </c>
      <c r="J424" t="str">
        <f>IF(Table3_1[[#This Row],[Discount_applied]]=0,"No Discount","Discount Applied")</f>
        <v>No Discount</v>
      </c>
    </row>
    <row r="425" spans="1:10" x14ac:dyDescent="0.3">
      <c r="A425" t="s">
        <v>411</v>
      </c>
      <c r="B425" s="1">
        <v>45761</v>
      </c>
      <c r="C425" t="s">
        <v>328</v>
      </c>
      <c r="D425">
        <v>3</v>
      </c>
      <c r="E425">
        <v>120</v>
      </c>
      <c r="F425" t="s">
        <v>26</v>
      </c>
      <c r="G425" t="s">
        <v>27</v>
      </c>
      <c r="H425">
        <v>0</v>
      </c>
      <c r="I425" t="s">
        <v>287</v>
      </c>
      <c r="J425" t="str">
        <f>IF(Table3_1[[#This Row],[Discount_applied]]=0,"No Discount","Discount Applied")</f>
        <v>No Discount</v>
      </c>
    </row>
    <row r="426" spans="1:10" x14ac:dyDescent="0.3">
      <c r="A426" t="s">
        <v>411</v>
      </c>
      <c r="B426" s="1">
        <v>45761</v>
      </c>
      <c r="C426" t="s">
        <v>283</v>
      </c>
      <c r="D426">
        <v>1</v>
      </c>
      <c r="E426">
        <v>450</v>
      </c>
      <c r="F426" t="s">
        <v>14</v>
      </c>
      <c r="G426" t="s">
        <v>15</v>
      </c>
      <c r="H426">
        <v>10</v>
      </c>
      <c r="I426" t="s">
        <v>300</v>
      </c>
      <c r="J426" t="str">
        <f>IF(Table3_1[[#This Row],[Discount_applied]]=0,"No Discount","Discount Applied")</f>
        <v>Discount Applied</v>
      </c>
    </row>
    <row r="427" spans="1:10" x14ac:dyDescent="0.3">
      <c r="A427" t="s">
        <v>411</v>
      </c>
      <c r="B427" s="1">
        <v>45761</v>
      </c>
      <c r="C427" t="s">
        <v>331</v>
      </c>
      <c r="D427">
        <v>2</v>
      </c>
      <c r="E427">
        <v>260</v>
      </c>
      <c r="F427" t="s">
        <v>26</v>
      </c>
      <c r="G427" t="s">
        <v>15</v>
      </c>
      <c r="H427">
        <v>0</v>
      </c>
      <c r="I427" t="s">
        <v>290</v>
      </c>
      <c r="J427" t="str">
        <f>IF(Table3_1[[#This Row],[Discount_applied]]=0,"No Discount","Discount Applied")</f>
        <v>No Discount</v>
      </c>
    </row>
    <row r="428" spans="1:10" x14ac:dyDescent="0.3">
      <c r="A428" t="s">
        <v>411</v>
      </c>
      <c r="B428" s="1">
        <v>45761</v>
      </c>
      <c r="C428" t="s">
        <v>333</v>
      </c>
      <c r="D428">
        <v>3</v>
      </c>
      <c r="E428">
        <v>300</v>
      </c>
      <c r="F428" t="s">
        <v>14</v>
      </c>
      <c r="G428" t="s">
        <v>257</v>
      </c>
      <c r="H428">
        <v>0</v>
      </c>
      <c r="I428" t="s">
        <v>293</v>
      </c>
      <c r="J428" t="str">
        <f>IF(Table3_1[[#This Row],[Discount_applied]]=0,"No Discount","Discount Applied")</f>
        <v>No Discount</v>
      </c>
    </row>
    <row r="429" spans="1:10" x14ac:dyDescent="0.3">
      <c r="A429" t="s">
        <v>411</v>
      </c>
      <c r="B429" s="1">
        <v>45761</v>
      </c>
      <c r="C429" t="s">
        <v>335</v>
      </c>
      <c r="D429">
        <v>1</v>
      </c>
      <c r="E429">
        <v>200</v>
      </c>
      <c r="F429" t="s">
        <v>26</v>
      </c>
      <c r="G429" t="s">
        <v>27</v>
      </c>
      <c r="H429">
        <v>25</v>
      </c>
      <c r="I429" t="s">
        <v>296</v>
      </c>
      <c r="J429" t="str">
        <f>IF(Table3_1[[#This Row],[Discount_applied]]=0,"No Discount","Discount Applied")</f>
        <v>Discount Applied</v>
      </c>
    </row>
    <row r="430" spans="1:10" x14ac:dyDescent="0.3">
      <c r="A430" t="s">
        <v>411</v>
      </c>
      <c r="B430" s="1">
        <v>45761</v>
      </c>
      <c r="C430" t="s">
        <v>337</v>
      </c>
      <c r="D430">
        <v>2</v>
      </c>
      <c r="E430">
        <v>240</v>
      </c>
      <c r="F430" t="s">
        <v>14</v>
      </c>
      <c r="G430" t="s">
        <v>27</v>
      </c>
      <c r="H430">
        <v>0</v>
      </c>
      <c r="I430" t="s">
        <v>298</v>
      </c>
      <c r="J430" t="str">
        <f>IF(Table3_1[[#This Row],[Discount_applied]]=0,"No Discount","Discount Applied")</f>
        <v>No Discount</v>
      </c>
    </row>
    <row r="431" spans="1:10" x14ac:dyDescent="0.3">
      <c r="A431" t="s">
        <v>411</v>
      </c>
      <c r="B431" s="1">
        <v>45761</v>
      </c>
      <c r="C431" t="s">
        <v>339</v>
      </c>
      <c r="D431">
        <v>1</v>
      </c>
      <c r="E431">
        <v>320</v>
      </c>
      <c r="F431" t="s">
        <v>26</v>
      </c>
      <c r="G431" t="s">
        <v>15</v>
      </c>
      <c r="H431">
        <v>0</v>
      </c>
      <c r="I431" t="s">
        <v>287</v>
      </c>
      <c r="J431" t="str">
        <f>IF(Table3_1[[#This Row],[Discount_applied]]=0,"No Discount","Discount Applied")</f>
        <v>No Discount</v>
      </c>
    </row>
    <row r="432" spans="1:10" x14ac:dyDescent="0.3">
      <c r="A432" t="s">
        <v>411</v>
      </c>
      <c r="B432" s="1">
        <v>45761</v>
      </c>
      <c r="C432" t="s">
        <v>256</v>
      </c>
      <c r="D432">
        <v>4</v>
      </c>
      <c r="E432">
        <v>200</v>
      </c>
      <c r="F432" t="s">
        <v>14</v>
      </c>
      <c r="G432" t="s">
        <v>27</v>
      </c>
      <c r="H432">
        <v>0</v>
      </c>
      <c r="I432" t="s">
        <v>300</v>
      </c>
      <c r="J432" t="str">
        <f>IF(Table3_1[[#This Row],[Discount_applied]]=0,"No Discount","Discount Applied")</f>
        <v>No Discount</v>
      </c>
    </row>
    <row r="433" spans="1:10" x14ac:dyDescent="0.3">
      <c r="A433" t="s">
        <v>411</v>
      </c>
      <c r="B433" s="1">
        <v>45761</v>
      </c>
      <c r="C433" t="s">
        <v>260</v>
      </c>
      <c r="D433">
        <v>1</v>
      </c>
      <c r="E433">
        <v>250</v>
      </c>
      <c r="F433" t="s">
        <v>26</v>
      </c>
      <c r="G433" t="s">
        <v>257</v>
      </c>
      <c r="H433">
        <v>15</v>
      </c>
      <c r="I433" t="s">
        <v>290</v>
      </c>
      <c r="J433" t="str">
        <f>IF(Table3_1[[#This Row],[Discount_applied]]=0,"No Discount","Discount Applied")</f>
        <v>Discount Applied</v>
      </c>
    </row>
    <row r="434" spans="1:10" x14ac:dyDescent="0.3">
      <c r="A434" t="s">
        <v>411</v>
      </c>
      <c r="B434" s="1">
        <v>45761</v>
      </c>
      <c r="C434" t="s">
        <v>263</v>
      </c>
      <c r="D434">
        <v>2</v>
      </c>
      <c r="E434">
        <v>180</v>
      </c>
      <c r="F434" t="s">
        <v>14</v>
      </c>
      <c r="G434" t="s">
        <v>27</v>
      </c>
      <c r="H434">
        <v>0</v>
      </c>
      <c r="I434" t="s">
        <v>293</v>
      </c>
      <c r="J434" t="str">
        <f>IF(Table3_1[[#This Row],[Discount_applied]]=0,"No Discount","Discount Applied")</f>
        <v>No Discount</v>
      </c>
    </row>
    <row r="435" spans="1:10" x14ac:dyDescent="0.3">
      <c r="A435" t="s">
        <v>411</v>
      </c>
      <c r="B435" s="1">
        <v>45761</v>
      </c>
      <c r="C435" t="s">
        <v>251</v>
      </c>
      <c r="D435">
        <v>1</v>
      </c>
      <c r="E435">
        <v>200</v>
      </c>
      <c r="F435" t="s">
        <v>26</v>
      </c>
      <c r="G435" t="s">
        <v>15</v>
      </c>
      <c r="H435">
        <v>0</v>
      </c>
      <c r="I435" t="s">
        <v>296</v>
      </c>
      <c r="J435" t="str">
        <f>IF(Table3_1[[#This Row],[Discount_applied]]=0,"No Discount","Discount Applied")</f>
        <v>No Discount</v>
      </c>
    </row>
    <row r="436" spans="1:10" x14ac:dyDescent="0.3">
      <c r="A436" t="s">
        <v>411</v>
      </c>
      <c r="B436" s="1">
        <v>45761</v>
      </c>
      <c r="C436" t="s">
        <v>266</v>
      </c>
      <c r="D436">
        <v>2</v>
      </c>
      <c r="E436">
        <v>500</v>
      </c>
      <c r="F436" t="s">
        <v>14</v>
      </c>
      <c r="G436" t="s">
        <v>27</v>
      </c>
      <c r="H436">
        <v>30</v>
      </c>
      <c r="I436" t="s">
        <v>298</v>
      </c>
      <c r="J436" t="str">
        <f>IF(Table3_1[[#This Row],[Discount_applied]]=0,"No Discount","Discount Applied")</f>
        <v>Discount Applied</v>
      </c>
    </row>
    <row r="437" spans="1:10" x14ac:dyDescent="0.3">
      <c r="A437" t="s">
        <v>411</v>
      </c>
      <c r="B437" s="1">
        <v>45761</v>
      </c>
      <c r="C437" t="s">
        <v>269</v>
      </c>
      <c r="D437">
        <v>1</v>
      </c>
      <c r="E437">
        <v>180</v>
      </c>
      <c r="F437" t="s">
        <v>26</v>
      </c>
      <c r="G437" t="s">
        <v>27</v>
      </c>
      <c r="H437">
        <v>0</v>
      </c>
      <c r="I437" t="s">
        <v>287</v>
      </c>
      <c r="J437" t="str">
        <f>IF(Table3_1[[#This Row],[Discount_applied]]=0,"No Discount","Discount Applied")</f>
        <v>No Discount</v>
      </c>
    </row>
    <row r="438" spans="1:10" x14ac:dyDescent="0.3">
      <c r="A438" t="s">
        <v>411</v>
      </c>
      <c r="B438" s="1">
        <v>45761</v>
      </c>
      <c r="C438" t="s">
        <v>244</v>
      </c>
      <c r="D438">
        <v>3</v>
      </c>
      <c r="E438">
        <v>450</v>
      </c>
      <c r="F438" t="s">
        <v>14</v>
      </c>
      <c r="G438" t="s">
        <v>257</v>
      </c>
      <c r="H438">
        <v>0</v>
      </c>
      <c r="I438" t="s">
        <v>300</v>
      </c>
      <c r="J438" t="str">
        <f>IF(Table3_1[[#This Row],[Discount_applied]]=0,"No Discount","Discount Applied")</f>
        <v>No Discount</v>
      </c>
    </row>
    <row r="439" spans="1:10" x14ac:dyDescent="0.3">
      <c r="A439" t="s">
        <v>411</v>
      </c>
      <c r="B439" s="1">
        <v>45761</v>
      </c>
      <c r="C439" t="s">
        <v>272</v>
      </c>
      <c r="D439">
        <v>1</v>
      </c>
      <c r="E439">
        <v>300</v>
      </c>
      <c r="F439" t="s">
        <v>26</v>
      </c>
      <c r="G439" t="s">
        <v>15</v>
      </c>
      <c r="H439">
        <v>10</v>
      </c>
      <c r="I439" t="s">
        <v>290</v>
      </c>
      <c r="J439" t="str">
        <f>IF(Table3_1[[#This Row],[Discount_applied]]=0,"No Discount","Discount Applied")</f>
        <v>Discount Applied</v>
      </c>
    </row>
    <row r="440" spans="1:10" x14ac:dyDescent="0.3">
      <c r="A440" t="s">
        <v>411</v>
      </c>
      <c r="B440" s="1">
        <v>45761</v>
      </c>
      <c r="C440" t="s">
        <v>274</v>
      </c>
      <c r="D440">
        <v>2</v>
      </c>
      <c r="E440">
        <v>260</v>
      </c>
      <c r="F440" t="s">
        <v>14</v>
      </c>
      <c r="G440" t="s">
        <v>15</v>
      </c>
      <c r="H440">
        <v>0</v>
      </c>
      <c r="I440" t="s">
        <v>293</v>
      </c>
      <c r="J440" t="str">
        <f>IF(Table3_1[[#This Row],[Discount_applied]]=0,"No Discount","Discount Applied")</f>
        <v>No Discount</v>
      </c>
    </row>
    <row r="441" spans="1:10" x14ac:dyDescent="0.3">
      <c r="A441" t="s">
        <v>411</v>
      </c>
      <c r="B441" s="1">
        <v>45761</v>
      </c>
      <c r="C441" t="s">
        <v>276</v>
      </c>
      <c r="D441">
        <v>1</v>
      </c>
      <c r="E441">
        <v>350</v>
      </c>
      <c r="F441" t="s">
        <v>26</v>
      </c>
      <c r="G441" t="s">
        <v>27</v>
      </c>
      <c r="H441">
        <v>0</v>
      </c>
      <c r="I441" t="s">
        <v>296</v>
      </c>
      <c r="J441" t="str">
        <f>IF(Table3_1[[#This Row],[Discount_applied]]=0,"No Discount","Discount Applied")</f>
        <v>No Discount</v>
      </c>
    </row>
    <row r="442" spans="1:10" x14ac:dyDescent="0.3">
      <c r="A442" t="s">
        <v>411</v>
      </c>
      <c r="B442" s="1">
        <v>45761</v>
      </c>
      <c r="C442" t="s">
        <v>278</v>
      </c>
      <c r="D442">
        <v>3</v>
      </c>
      <c r="E442">
        <v>420</v>
      </c>
      <c r="F442" t="s">
        <v>14</v>
      </c>
      <c r="G442" t="s">
        <v>257</v>
      </c>
      <c r="H442">
        <v>20</v>
      </c>
      <c r="I442" t="s">
        <v>298</v>
      </c>
      <c r="J442" t="str">
        <f>IF(Table3_1[[#This Row],[Discount_applied]]=0,"No Discount","Discount Applied")</f>
        <v>Discount Applied</v>
      </c>
    </row>
    <row r="443" spans="1:10" x14ac:dyDescent="0.3">
      <c r="A443" t="s">
        <v>411</v>
      </c>
      <c r="B443" s="1">
        <v>45761</v>
      </c>
      <c r="C443" t="s">
        <v>286</v>
      </c>
      <c r="D443">
        <v>2</v>
      </c>
      <c r="E443">
        <v>500</v>
      </c>
      <c r="F443" t="s">
        <v>26</v>
      </c>
      <c r="G443" t="s">
        <v>15</v>
      </c>
      <c r="H443">
        <v>0</v>
      </c>
      <c r="I443" t="s">
        <v>287</v>
      </c>
      <c r="J443" t="str">
        <f>IF(Table3_1[[#This Row],[Discount_applied]]=0,"No Discount","Discount Applied")</f>
        <v>No Discount</v>
      </c>
    </row>
    <row r="444" spans="1:10" x14ac:dyDescent="0.3">
      <c r="A444" t="s">
        <v>411</v>
      </c>
      <c r="B444" s="1">
        <v>45761</v>
      </c>
      <c r="C444" t="s">
        <v>289</v>
      </c>
      <c r="D444">
        <v>1</v>
      </c>
      <c r="E444">
        <v>220</v>
      </c>
      <c r="F444" t="s">
        <v>14</v>
      </c>
      <c r="G444" t="s">
        <v>27</v>
      </c>
      <c r="H444">
        <v>0</v>
      </c>
      <c r="I444" t="s">
        <v>300</v>
      </c>
      <c r="J444" t="str">
        <f>IF(Table3_1[[#This Row],[Discount_applied]]=0,"No Discount","Discount Applied")</f>
        <v>No Discount</v>
      </c>
    </row>
    <row r="445" spans="1:10" x14ac:dyDescent="0.3">
      <c r="A445" t="s">
        <v>411</v>
      </c>
      <c r="B445" s="1">
        <v>45761</v>
      </c>
      <c r="C445" t="s">
        <v>292</v>
      </c>
      <c r="D445">
        <v>3</v>
      </c>
      <c r="E445">
        <v>180</v>
      </c>
      <c r="F445" t="s">
        <v>26</v>
      </c>
      <c r="G445" t="s">
        <v>257</v>
      </c>
      <c r="H445">
        <v>15</v>
      </c>
      <c r="I445" t="s">
        <v>290</v>
      </c>
      <c r="J445" t="str">
        <f>IF(Table3_1[[#This Row],[Discount_applied]]=0,"No Discount","Discount Applied")</f>
        <v>Discount Applied</v>
      </c>
    </row>
    <row r="446" spans="1:10" x14ac:dyDescent="0.3">
      <c r="A446" t="s">
        <v>411</v>
      </c>
      <c r="B446" s="1">
        <v>45761</v>
      </c>
      <c r="C446" t="s">
        <v>295</v>
      </c>
      <c r="D446">
        <v>1</v>
      </c>
      <c r="E446">
        <v>280</v>
      </c>
      <c r="F446" t="s">
        <v>14</v>
      </c>
      <c r="G446" t="s">
        <v>15</v>
      </c>
      <c r="H446">
        <v>0</v>
      </c>
      <c r="I446" t="s">
        <v>293</v>
      </c>
      <c r="J446" t="str">
        <f>IF(Table3_1[[#This Row],[Discount_applied]]=0,"No Discount","Discount Applied")</f>
        <v>No Discount</v>
      </c>
    </row>
    <row r="447" spans="1:10" x14ac:dyDescent="0.3">
      <c r="A447" t="s">
        <v>411</v>
      </c>
      <c r="B447" s="1">
        <v>45761</v>
      </c>
      <c r="C447" t="s">
        <v>266</v>
      </c>
      <c r="D447">
        <v>2</v>
      </c>
      <c r="E447">
        <v>500</v>
      </c>
      <c r="F447" t="s">
        <v>26</v>
      </c>
      <c r="G447" t="s">
        <v>27</v>
      </c>
      <c r="H447">
        <v>0</v>
      </c>
      <c r="I447" t="s">
        <v>296</v>
      </c>
      <c r="J447" t="str">
        <f>IF(Table3_1[[#This Row],[Discount_applied]]=0,"No Discount","Discount Applied")</f>
        <v>No Discount</v>
      </c>
    </row>
    <row r="448" spans="1:10" x14ac:dyDescent="0.3">
      <c r="A448" t="s">
        <v>411</v>
      </c>
      <c r="B448" s="1">
        <v>45761</v>
      </c>
      <c r="C448" t="s">
        <v>278</v>
      </c>
      <c r="D448">
        <v>1</v>
      </c>
      <c r="E448">
        <v>160</v>
      </c>
      <c r="F448" t="s">
        <v>14</v>
      </c>
      <c r="G448" t="s">
        <v>257</v>
      </c>
      <c r="H448">
        <v>0</v>
      </c>
      <c r="I448" t="s">
        <v>298</v>
      </c>
      <c r="J448" t="str">
        <f>IF(Table3_1[[#This Row],[Discount_applied]]=0,"No Discount","Discount Applied")</f>
        <v>No Discount</v>
      </c>
    </row>
    <row r="449" spans="1:10" x14ac:dyDescent="0.3">
      <c r="A449" t="s">
        <v>411</v>
      </c>
      <c r="B449" s="1">
        <v>45761</v>
      </c>
      <c r="C449" t="s">
        <v>302</v>
      </c>
      <c r="D449">
        <v>1</v>
      </c>
      <c r="E449">
        <v>380</v>
      </c>
      <c r="F449" t="s">
        <v>26</v>
      </c>
      <c r="G449" t="s">
        <v>27</v>
      </c>
      <c r="H449">
        <v>10</v>
      </c>
      <c r="I449" t="s">
        <v>287</v>
      </c>
      <c r="J449" t="str">
        <f>IF(Table3_1[[#This Row],[Discount_applied]]=0,"No Discount","Discount Applied")</f>
        <v>Discount Applied</v>
      </c>
    </row>
    <row r="450" spans="1:10" x14ac:dyDescent="0.3">
      <c r="A450" t="s">
        <v>411</v>
      </c>
      <c r="B450" s="1">
        <v>45761</v>
      </c>
      <c r="C450" t="s">
        <v>269</v>
      </c>
      <c r="D450">
        <v>2</v>
      </c>
      <c r="E450">
        <v>200</v>
      </c>
      <c r="F450" t="s">
        <v>14</v>
      </c>
      <c r="G450" t="s">
        <v>15</v>
      </c>
      <c r="H450">
        <v>0</v>
      </c>
      <c r="I450" t="s">
        <v>300</v>
      </c>
      <c r="J450" t="str">
        <f>IF(Table3_1[[#This Row],[Discount_applied]]=0,"No Discount","Discount Applied")</f>
        <v>No Discount</v>
      </c>
    </row>
    <row r="451" spans="1:10" x14ac:dyDescent="0.3">
      <c r="A451" t="s">
        <v>411</v>
      </c>
      <c r="B451" s="1">
        <v>45761</v>
      </c>
      <c r="C451" t="s">
        <v>305</v>
      </c>
      <c r="D451">
        <v>1</v>
      </c>
      <c r="E451">
        <v>140</v>
      </c>
      <c r="F451" t="s">
        <v>26</v>
      </c>
      <c r="G451" t="s">
        <v>27</v>
      </c>
      <c r="H451">
        <v>0</v>
      </c>
      <c r="I451" t="s">
        <v>290</v>
      </c>
      <c r="J451" t="str">
        <f>IF(Table3_1[[#This Row],[Discount_applied]]=0,"No Discount","Discount Applied")</f>
        <v>No Discount</v>
      </c>
    </row>
    <row r="452" spans="1:10" x14ac:dyDescent="0.3">
      <c r="A452" t="s">
        <v>411</v>
      </c>
      <c r="B452" s="1">
        <v>45761</v>
      </c>
      <c r="C452" t="s">
        <v>280</v>
      </c>
      <c r="D452">
        <v>2</v>
      </c>
      <c r="E452">
        <v>240</v>
      </c>
      <c r="F452" t="s">
        <v>26</v>
      </c>
      <c r="G452" t="s">
        <v>15</v>
      </c>
      <c r="H452">
        <v>0</v>
      </c>
      <c r="I452" t="s">
        <v>281</v>
      </c>
      <c r="J452" t="str">
        <f>IF(Table3_1[[#This Row],[Discount_applied]]=0,"No Discount","Discount Applied")</f>
        <v>No Discount</v>
      </c>
    </row>
    <row r="453" spans="1:10" x14ac:dyDescent="0.3">
      <c r="A453" t="s">
        <v>411</v>
      </c>
      <c r="B453" s="1">
        <v>45761</v>
      </c>
      <c r="C453" t="s">
        <v>283</v>
      </c>
      <c r="D453">
        <v>1</v>
      </c>
      <c r="E453">
        <v>450</v>
      </c>
      <c r="F453" t="s">
        <v>14</v>
      </c>
      <c r="G453" t="s">
        <v>27</v>
      </c>
      <c r="H453">
        <v>30</v>
      </c>
      <c r="I453" t="s">
        <v>284</v>
      </c>
      <c r="J453" t="str">
        <f>IF(Table3_1[[#This Row],[Discount_applied]]=0,"No Discount","Discount Applied")</f>
        <v>Discount Applied</v>
      </c>
    </row>
    <row r="454" spans="1:10" x14ac:dyDescent="0.3">
      <c r="A454" t="s">
        <v>411</v>
      </c>
      <c r="B454" s="1">
        <v>45761</v>
      </c>
      <c r="C454" t="s">
        <v>286</v>
      </c>
      <c r="D454">
        <v>2</v>
      </c>
      <c r="E454">
        <v>500</v>
      </c>
      <c r="F454" t="s">
        <v>26</v>
      </c>
      <c r="G454" t="s">
        <v>15</v>
      </c>
      <c r="H454">
        <v>0</v>
      </c>
      <c r="I454" t="s">
        <v>287</v>
      </c>
      <c r="J454" t="str">
        <f>IF(Table3_1[[#This Row],[Discount_applied]]=0,"No Discount","Discount Applied")</f>
        <v>No Discount</v>
      </c>
    </row>
    <row r="455" spans="1:10" x14ac:dyDescent="0.3">
      <c r="A455" t="s">
        <v>411</v>
      </c>
      <c r="B455" s="1">
        <v>45761</v>
      </c>
      <c r="C455" t="s">
        <v>289</v>
      </c>
      <c r="D455">
        <v>1</v>
      </c>
      <c r="E455">
        <v>220</v>
      </c>
      <c r="F455" t="s">
        <v>14</v>
      </c>
      <c r="G455" t="s">
        <v>27</v>
      </c>
      <c r="H455">
        <v>20</v>
      </c>
      <c r="I455" t="s">
        <v>290</v>
      </c>
      <c r="J455" t="str">
        <f>IF(Table3_1[[#This Row],[Discount_applied]]=0,"No Discount","Discount Applied")</f>
        <v>Discount Applied</v>
      </c>
    </row>
    <row r="456" spans="1:10" x14ac:dyDescent="0.3">
      <c r="A456" t="s">
        <v>411</v>
      </c>
      <c r="B456" s="1">
        <v>45761</v>
      </c>
      <c r="C456" t="s">
        <v>292</v>
      </c>
      <c r="D456">
        <v>3</v>
      </c>
      <c r="E456">
        <v>180</v>
      </c>
      <c r="F456" t="s">
        <v>26</v>
      </c>
      <c r="G456" t="s">
        <v>257</v>
      </c>
      <c r="H456">
        <v>0</v>
      </c>
      <c r="I456" t="s">
        <v>293</v>
      </c>
      <c r="J456" t="str">
        <f>IF(Table3_1[[#This Row],[Discount_applied]]=0,"No Discount","Discount Applied")</f>
        <v>No Discount</v>
      </c>
    </row>
    <row r="457" spans="1:10" x14ac:dyDescent="0.3">
      <c r="A457" t="s">
        <v>411</v>
      </c>
      <c r="B457" s="1">
        <v>45761</v>
      </c>
      <c r="C457" t="s">
        <v>295</v>
      </c>
      <c r="D457">
        <v>1</v>
      </c>
      <c r="E457">
        <v>280</v>
      </c>
      <c r="F457" t="s">
        <v>14</v>
      </c>
      <c r="G457" t="s">
        <v>27</v>
      </c>
      <c r="H457">
        <v>0</v>
      </c>
      <c r="I457" t="s">
        <v>296</v>
      </c>
      <c r="J457" t="str">
        <f>IF(Table3_1[[#This Row],[Discount_applied]]=0,"No Discount","Discount Applied")</f>
        <v>No Discount</v>
      </c>
    </row>
    <row r="458" spans="1:10" x14ac:dyDescent="0.3">
      <c r="A458" t="s">
        <v>411</v>
      </c>
      <c r="B458" s="1">
        <v>45761</v>
      </c>
      <c r="C458" t="s">
        <v>266</v>
      </c>
      <c r="D458">
        <v>2</v>
      </c>
      <c r="E458">
        <v>500</v>
      </c>
      <c r="F458" t="s">
        <v>26</v>
      </c>
      <c r="G458" t="s">
        <v>15</v>
      </c>
      <c r="H458">
        <v>10</v>
      </c>
      <c r="I458" t="s">
        <v>298</v>
      </c>
      <c r="J458" t="str">
        <f>IF(Table3_1[[#This Row],[Discount_applied]]=0,"No Discount","Discount Applied")</f>
        <v>Discount Applied</v>
      </c>
    </row>
    <row r="459" spans="1:10" x14ac:dyDescent="0.3">
      <c r="A459" t="s">
        <v>411</v>
      </c>
      <c r="B459" s="1">
        <v>45761</v>
      </c>
      <c r="C459" t="s">
        <v>278</v>
      </c>
      <c r="D459">
        <v>1</v>
      </c>
      <c r="E459">
        <v>160</v>
      </c>
      <c r="F459" t="s">
        <v>14</v>
      </c>
      <c r="G459" t="s">
        <v>257</v>
      </c>
      <c r="H459">
        <v>0</v>
      </c>
      <c r="I459" t="s">
        <v>300</v>
      </c>
      <c r="J459" t="str">
        <f>IF(Table3_1[[#This Row],[Discount_applied]]=0,"No Discount","Discount Applied")</f>
        <v>No Discount</v>
      </c>
    </row>
    <row r="460" spans="1:10" x14ac:dyDescent="0.3">
      <c r="A460" t="s">
        <v>411</v>
      </c>
      <c r="B460" s="1">
        <v>45761</v>
      </c>
      <c r="C460" t="s">
        <v>302</v>
      </c>
      <c r="D460">
        <v>1</v>
      </c>
      <c r="E460">
        <v>380</v>
      </c>
      <c r="F460" t="s">
        <v>26</v>
      </c>
      <c r="G460" t="s">
        <v>27</v>
      </c>
      <c r="H460">
        <v>25</v>
      </c>
      <c r="I460" t="s">
        <v>287</v>
      </c>
      <c r="J460" t="str">
        <f>IF(Table3_1[[#This Row],[Discount_applied]]=0,"No Discount","Discount Applied")</f>
        <v>Discount Applied</v>
      </c>
    </row>
    <row r="461" spans="1:10" x14ac:dyDescent="0.3">
      <c r="A461" t="s">
        <v>411</v>
      </c>
      <c r="B461" s="1">
        <v>45761</v>
      </c>
      <c r="C461" t="s">
        <v>269</v>
      </c>
      <c r="D461">
        <v>2</v>
      </c>
      <c r="E461">
        <v>200</v>
      </c>
      <c r="F461" t="s">
        <v>14</v>
      </c>
      <c r="G461" t="s">
        <v>15</v>
      </c>
      <c r="H461">
        <v>0</v>
      </c>
      <c r="I461" t="s">
        <v>290</v>
      </c>
      <c r="J461" t="str">
        <f>IF(Table3_1[[#This Row],[Discount_applied]]=0,"No Discount","Discount Applied")</f>
        <v>No Discount</v>
      </c>
    </row>
    <row r="462" spans="1:10" x14ac:dyDescent="0.3">
      <c r="A462" t="s">
        <v>411</v>
      </c>
      <c r="B462" s="1">
        <v>45761</v>
      </c>
      <c r="C462" t="s">
        <v>305</v>
      </c>
      <c r="D462">
        <v>1</v>
      </c>
      <c r="E462">
        <v>140</v>
      </c>
      <c r="F462" t="s">
        <v>26</v>
      </c>
      <c r="G462" t="s">
        <v>27</v>
      </c>
      <c r="H462">
        <v>0</v>
      </c>
      <c r="I462" t="s">
        <v>293</v>
      </c>
      <c r="J462" t="str">
        <f>IF(Table3_1[[#This Row],[Discount_applied]]=0,"No Discount","Discount Applied")</f>
        <v>No Discount</v>
      </c>
    </row>
    <row r="463" spans="1:10" x14ac:dyDescent="0.3">
      <c r="A463" t="s">
        <v>411</v>
      </c>
      <c r="B463" s="1">
        <v>45761</v>
      </c>
      <c r="C463" t="s">
        <v>307</v>
      </c>
      <c r="D463">
        <v>4</v>
      </c>
      <c r="E463">
        <v>100</v>
      </c>
      <c r="F463" t="s">
        <v>14</v>
      </c>
      <c r="G463" t="s">
        <v>257</v>
      </c>
      <c r="H463">
        <v>10</v>
      </c>
      <c r="I463" t="s">
        <v>296</v>
      </c>
      <c r="J463" t="str">
        <f>IF(Table3_1[[#This Row],[Discount_applied]]=0,"No Discount","Discount Applied")</f>
        <v>Discount Applied</v>
      </c>
    </row>
    <row r="464" spans="1:10" x14ac:dyDescent="0.3">
      <c r="A464" t="s">
        <v>411</v>
      </c>
      <c r="B464" s="1">
        <v>45761</v>
      </c>
      <c r="C464" t="s">
        <v>309</v>
      </c>
      <c r="D464">
        <v>2</v>
      </c>
      <c r="E464">
        <v>320</v>
      </c>
      <c r="F464" t="s">
        <v>26</v>
      </c>
      <c r="G464" t="s">
        <v>27</v>
      </c>
      <c r="H464">
        <v>0</v>
      </c>
      <c r="I464" t="s">
        <v>298</v>
      </c>
      <c r="J464" t="str">
        <f>IF(Table3_1[[#This Row],[Discount_applied]]=0,"No Discount","Discount Applied")</f>
        <v>No Discount</v>
      </c>
    </row>
    <row r="465" spans="1:10" x14ac:dyDescent="0.3">
      <c r="A465" t="s">
        <v>411</v>
      </c>
      <c r="B465" s="1">
        <v>45761</v>
      </c>
      <c r="C465" t="s">
        <v>272</v>
      </c>
      <c r="D465">
        <v>1</v>
      </c>
      <c r="E465">
        <v>350</v>
      </c>
      <c r="F465" t="s">
        <v>14</v>
      </c>
      <c r="G465" t="s">
        <v>15</v>
      </c>
      <c r="H465">
        <v>15</v>
      </c>
      <c r="I465" t="s">
        <v>287</v>
      </c>
      <c r="J465" t="str">
        <f>IF(Table3_1[[#This Row],[Discount_applied]]=0,"No Discount","Discount Applied")</f>
        <v>Discount Applied</v>
      </c>
    </row>
    <row r="466" spans="1:10" x14ac:dyDescent="0.3">
      <c r="A466" t="s">
        <v>411</v>
      </c>
      <c r="B466" s="1">
        <v>45761</v>
      </c>
      <c r="C466" t="s">
        <v>312</v>
      </c>
      <c r="D466">
        <v>2</v>
      </c>
      <c r="E466">
        <v>240</v>
      </c>
      <c r="F466" t="s">
        <v>26</v>
      </c>
      <c r="G466" t="s">
        <v>257</v>
      </c>
      <c r="H466">
        <v>0</v>
      </c>
      <c r="I466" t="s">
        <v>300</v>
      </c>
      <c r="J466" t="str">
        <f>IF(Table3_1[[#This Row],[Discount_applied]]=0,"No Discount","Discount Applied")</f>
        <v>No Discount</v>
      </c>
    </row>
    <row r="467" spans="1:10" x14ac:dyDescent="0.3">
      <c r="A467" t="s">
        <v>411</v>
      </c>
      <c r="B467" s="1">
        <v>45761</v>
      </c>
      <c r="C467" t="s">
        <v>314</v>
      </c>
      <c r="D467">
        <v>1</v>
      </c>
      <c r="E467">
        <v>300</v>
      </c>
      <c r="F467" t="s">
        <v>14</v>
      </c>
      <c r="G467" t="s">
        <v>27</v>
      </c>
      <c r="H467">
        <v>20</v>
      </c>
      <c r="I467" t="s">
        <v>290</v>
      </c>
      <c r="J467" t="str">
        <f>IF(Table3_1[[#This Row],[Discount_applied]]=0,"No Discount","Discount Applied")</f>
        <v>Discount Applied</v>
      </c>
    </row>
    <row r="468" spans="1:10" x14ac:dyDescent="0.3">
      <c r="A468" t="s">
        <v>411</v>
      </c>
      <c r="B468" s="1">
        <v>45761</v>
      </c>
      <c r="C468" t="s">
        <v>256</v>
      </c>
      <c r="D468">
        <v>3</v>
      </c>
      <c r="E468">
        <v>150</v>
      </c>
      <c r="F468" t="s">
        <v>26</v>
      </c>
      <c r="G468" t="s">
        <v>15</v>
      </c>
      <c r="H468">
        <v>0</v>
      </c>
      <c r="I468" t="s">
        <v>293</v>
      </c>
      <c r="J468" t="str">
        <f>IF(Table3_1[[#This Row],[Discount_applied]]=0,"No Discount","Discount Applied")</f>
        <v>No Discount</v>
      </c>
    </row>
    <row r="469" spans="1:10" x14ac:dyDescent="0.3">
      <c r="A469" t="s">
        <v>411</v>
      </c>
      <c r="B469" s="1">
        <v>45761</v>
      </c>
      <c r="C469" t="s">
        <v>251</v>
      </c>
      <c r="D469">
        <v>2</v>
      </c>
      <c r="E469">
        <v>400</v>
      </c>
      <c r="F469" t="s">
        <v>14</v>
      </c>
      <c r="G469" t="s">
        <v>27</v>
      </c>
      <c r="H469">
        <v>0</v>
      </c>
      <c r="I469" t="s">
        <v>296</v>
      </c>
      <c r="J469" t="str">
        <f>IF(Table3_1[[#This Row],[Discount_applied]]=0,"No Discount","Discount Applied")</f>
        <v>No Discount</v>
      </c>
    </row>
    <row r="470" spans="1:10" x14ac:dyDescent="0.3">
      <c r="A470" t="s">
        <v>411</v>
      </c>
      <c r="B470" s="1">
        <v>45761</v>
      </c>
      <c r="C470" t="s">
        <v>318</v>
      </c>
      <c r="D470">
        <v>1</v>
      </c>
      <c r="E470">
        <v>250</v>
      </c>
      <c r="F470" t="s">
        <v>26</v>
      </c>
      <c r="G470" t="s">
        <v>15</v>
      </c>
      <c r="H470">
        <v>30</v>
      </c>
      <c r="I470" t="s">
        <v>298</v>
      </c>
      <c r="J470" t="str">
        <f>IF(Table3_1[[#This Row],[Discount_applied]]=0,"No Discount","Discount Applied")</f>
        <v>Discount Applied</v>
      </c>
    </row>
    <row r="471" spans="1:10" x14ac:dyDescent="0.3">
      <c r="A471" t="s">
        <v>411</v>
      </c>
      <c r="B471" s="1">
        <v>45761</v>
      </c>
      <c r="C471" t="s">
        <v>280</v>
      </c>
      <c r="D471">
        <v>1</v>
      </c>
      <c r="E471">
        <v>150</v>
      </c>
      <c r="F471" t="s">
        <v>14</v>
      </c>
      <c r="G471" t="s">
        <v>257</v>
      </c>
      <c r="H471">
        <v>0</v>
      </c>
      <c r="I471" t="s">
        <v>287</v>
      </c>
      <c r="J471" t="str">
        <f>IF(Table3_1[[#This Row],[Discount_applied]]=0,"No Discount","Discount Applied")</f>
        <v>No Discount</v>
      </c>
    </row>
    <row r="472" spans="1:10" x14ac:dyDescent="0.3">
      <c r="A472" t="s">
        <v>411</v>
      </c>
      <c r="B472" s="1">
        <v>45761</v>
      </c>
      <c r="C472" t="s">
        <v>244</v>
      </c>
      <c r="D472">
        <v>2</v>
      </c>
      <c r="E472">
        <v>300</v>
      </c>
      <c r="F472" t="s">
        <v>26</v>
      </c>
      <c r="G472" t="s">
        <v>27</v>
      </c>
      <c r="H472">
        <v>0</v>
      </c>
      <c r="I472" t="s">
        <v>300</v>
      </c>
      <c r="J472" t="str">
        <f>IF(Table3_1[[#This Row],[Discount_applied]]=0,"No Discount","Discount Applied")</f>
        <v>No Discount</v>
      </c>
    </row>
    <row r="473" spans="1:10" x14ac:dyDescent="0.3">
      <c r="A473" t="s">
        <v>411</v>
      </c>
      <c r="B473" s="1">
        <v>45761</v>
      </c>
      <c r="C473" t="s">
        <v>322</v>
      </c>
      <c r="D473">
        <v>3</v>
      </c>
      <c r="E473">
        <v>180</v>
      </c>
      <c r="F473" t="s">
        <v>14</v>
      </c>
      <c r="G473" t="s">
        <v>15</v>
      </c>
      <c r="H473">
        <v>10</v>
      </c>
      <c r="I473" t="s">
        <v>443</v>
      </c>
      <c r="J473" t="str">
        <f>IF(Table3_1[[#This Row],[Discount_applied]]=0,"No Discount","Discount Applied")</f>
        <v>Discount Applied</v>
      </c>
    </row>
    <row r="474" spans="1:10" x14ac:dyDescent="0.3">
      <c r="A474" t="s">
        <v>411</v>
      </c>
      <c r="B474" s="1">
        <v>45761</v>
      </c>
      <c r="C474" t="s">
        <v>324</v>
      </c>
      <c r="D474">
        <v>2</v>
      </c>
      <c r="E474">
        <v>90</v>
      </c>
      <c r="F474" t="s">
        <v>26</v>
      </c>
      <c r="G474" t="s">
        <v>27</v>
      </c>
      <c r="H474">
        <v>0</v>
      </c>
      <c r="I474" t="s">
        <v>293</v>
      </c>
      <c r="J474" t="str">
        <f>IF(Table3_1[[#This Row],[Discount_applied]]=0,"No Discount","Discount Applied")</f>
        <v>No Discount</v>
      </c>
    </row>
    <row r="475" spans="1:10" x14ac:dyDescent="0.3">
      <c r="A475" t="s">
        <v>411</v>
      </c>
      <c r="B475" s="1">
        <v>45761</v>
      </c>
      <c r="C475" t="s">
        <v>326</v>
      </c>
      <c r="D475">
        <v>1</v>
      </c>
      <c r="E475">
        <v>320</v>
      </c>
      <c r="F475" t="s">
        <v>14</v>
      </c>
      <c r="G475" t="s">
        <v>257</v>
      </c>
      <c r="H475">
        <v>20</v>
      </c>
      <c r="I475" t="s">
        <v>296</v>
      </c>
      <c r="J475" t="str">
        <f>IF(Table3_1[[#This Row],[Discount_applied]]=0,"No Discount","Discount Applied")</f>
        <v>Discount Applied</v>
      </c>
    </row>
    <row r="476" spans="1:10" x14ac:dyDescent="0.3">
      <c r="A476" t="s">
        <v>411</v>
      </c>
      <c r="B476" s="1">
        <v>45761</v>
      </c>
      <c r="C476" t="s">
        <v>328</v>
      </c>
      <c r="D476">
        <v>3</v>
      </c>
      <c r="E476">
        <v>120</v>
      </c>
      <c r="F476" t="s">
        <v>26</v>
      </c>
      <c r="G476" t="s">
        <v>15</v>
      </c>
      <c r="H476">
        <v>0</v>
      </c>
      <c r="I476" t="s">
        <v>298</v>
      </c>
      <c r="J476" t="str">
        <f>IF(Table3_1[[#This Row],[Discount_applied]]=0,"No Discount","Discount Applied")</f>
        <v>No Discount</v>
      </c>
    </row>
    <row r="477" spans="1:10" x14ac:dyDescent="0.3">
      <c r="A477" t="s">
        <v>411</v>
      </c>
      <c r="B477" s="1">
        <v>45761</v>
      </c>
      <c r="C477" t="s">
        <v>283</v>
      </c>
      <c r="D477">
        <v>1</v>
      </c>
      <c r="E477">
        <v>450</v>
      </c>
      <c r="F477" t="s">
        <v>14</v>
      </c>
      <c r="G477" t="s">
        <v>27</v>
      </c>
      <c r="H477">
        <v>15</v>
      </c>
      <c r="I477" t="s">
        <v>443</v>
      </c>
      <c r="J477" t="str">
        <f>IF(Table3_1[[#This Row],[Discount_applied]]=0,"No Discount","Discount Applied")</f>
        <v>Discount Applied</v>
      </c>
    </row>
    <row r="478" spans="1:10" x14ac:dyDescent="0.3">
      <c r="A478" t="s">
        <v>411</v>
      </c>
      <c r="B478" s="1">
        <v>45761</v>
      </c>
      <c r="C478" t="s">
        <v>331</v>
      </c>
      <c r="D478">
        <v>2</v>
      </c>
      <c r="E478">
        <v>260</v>
      </c>
      <c r="F478" t="s">
        <v>26</v>
      </c>
      <c r="G478" t="s">
        <v>15</v>
      </c>
      <c r="H478">
        <v>0</v>
      </c>
      <c r="I478" t="s">
        <v>300</v>
      </c>
      <c r="J478" t="str">
        <f>IF(Table3_1[[#This Row],[Discount_applied]]=0,"No Discount","Discount Applied")</f>
        <v>No Discount</v>
      </c>
    </row>
    <row r="479" spans="1:10" x14ac:dyDescent="0.3">
      <c r="A479" t="s">
        <v>411</v>
      </c>
      <c r="B479" s="1">
        <v>45761</v>
      </c>
      <c r="C479" t="s">
        <v>333</v>
      </c>
      <c r="D479">
        <v>3</v>
      </c>
      <c r="E479">
        <v>300</v>
      </c>
      <c r="F479" t="s">
        <v>14</v>
      </c>
      <c r="G479" t="s">
        <v>257</v>
      </c>
      <c r="H479">
        <v>20</v>
      </c>
      <c r="I479" t="s">
        <v>290</v>
      </c>
      <c r="J479" t="str">
        <f>IF(Table3_1[[#This Row],[Discount_applied]]=0,"No Discount","Discount Applied")</f>
        <v>Discount Applied</v>
      </c>
    </row>
    <row r="480" spans="1:10" x14ac:dyDescent="0.3">
      <c r="A480" t="s">
        <v>411</v>
      </c>
      <c r="B480" s="1">
        <v>45761</v>
      </c>
      <c r="C480" t="s">
        <v>335</v>
      </c>
      <c r="D480">
        <v>1</v>
      </c>
      <c r="E480">
        <v>200</v>
      </c>
      <c r="F480" t="s">
        <v>26</v>
      </c>
      <c r="G480" t="s">
        <v>27</v>
      </c>
      <c r="H480">
        <v>0</v>
      </c>
      <c r="I480" t="s">
        <v>293</v>
      </c>
      <c r="J480" t="str">
        <f>IF(Table3_1[[#This Row],[Discount_applied]]=0,"No Discount","Discount Applied")</f>
        <v>No Discount</v>
      </c>
    </row>
    <row r="481" spans="1:10" x14ac:dyDescent="0.3">
      <c r="A481" t="s">
        <v>411</v>
      </c>
      <c r="B481" s="1">
        <v>45761</v>
      </c>
      <c r="C481" t="s">
        <v>337</v>
      </c>
      <c r="D481">
        <v>2</v>
      </c>
      <c r="E481">
        <v>240</v>
      </c>
      <c r="F481" t="s">
        <v>14</v>
      </c>
      <c r="G481" t="s">
        <v>27</v>
      </c>
      <c r="H481">
        <v>10</v>
      </c>
      <c r="I481" t="s">
        <v>296</v>
      </c>
      <c r="J481" t="str">
        <f>IF(Table3_1[[#This Row],[Discount_applied]]=0,"No Discount","Discount Applied")</f>
        <v>Discount Applied</v>
      </c>
    </row>
    <row r="482" spans="1:10" x14ac:dyDescent="0.3">
      <c r="A482" t="s">
        <v>411</v>
      </c>
      <c r="B482" s="1">
        <v>45761</v>
      </c>
      <c r="C482" t="s">
        <v>339</v>
      </c>
      <c r="D482">
        <v>1</v>
      </c>
      <c r="E482">
        <v>320</v>
      </c>
      <c r="F482" t="s">
        <v>26</v>
      </c>
      <c r="G482" t="s">
        <v>15</v>
      </c>
      <c r="H482">
        <v>0</v>
      </c>
      <c r="I482" t="s">
        <v>298</v>
      </c>
      <c r="J482" t="str">
        <f>IF(Table3_1[[#This Row],[Discount_applied]]=0,"No Discount","Discount Applied")</f>
        <v>No Discount</v>
      </c>
    </row>
    <row r="483" spans="1:10" x14ac:dyDescent="0.3">
      <c r="A483" t="s">
        <v>411</v>
      </c>
      <c r="B483" s="1">
        <v>45761</v>
      </c>
      <c r="C483" t="s">
        <v>256</v>
      </c>
      <c r="D483">
        <v>4</v>
      </c>
      <c r="E483">
        <v>200</v>
      </c>
      <c r="F483" t="s">
        <v>14</v>
      </c>
      <c r="G483" t="s">
        <v>15</v>
      </c>
      <c r="H483">
        <v>0</v>
      </c>
      <c r="I483" t="s">
        <v>287</v>
      </c>
      <c r="J483" t="str">
        <f>IF(Table3_1[[#This Row],[Discount_applied]]=0,"No Discount","Discount Applied")</f>
        <v>No Discount</v>
      </c>
    </row>
    <row r="484" spans="1:10" x14ac:dyDescent="0.3">
      <c r="A484" t="s">
        <v>411</v>
      </c>
      <c r="B484" s="1">
        <v>45761</v>
      </c>
      <c r="C484" t="s">
        <v>260</v>
      </c>
      <c r="D484">
        <v>1</v>
      </c>
      <c r="E484">
        <v>250</v>
      </c>
      <c r="F484" t="s">
        <v>26</v>
      </c>
      <c r="G484" t="s">
        <v>27</v>
      </c>
      <c r="H484">
        <v>30</v>
      </c>
      <c r="I484" t="s">
        <v>300</v>
      </c>
      <c r="J484" t="str">
        <f>IF(Table3_1[[#This Row],[Discount_applied]]=0,"No Discount","Discount Applied")</f>
        <v>Discount Applied</v>
      </c>
    </row>
    <row r="485" spans="1:10" x14ac:dyDescent="0.3">
      <c r="A485" t="s">
        <v>411</v>
      </c>
      <c r="B485" s="1">
        <v>45761</v>
      </c>
      <c r="C485" t="s">
        <v>263</v>
      </c>
      <c r="D485">
        <v>2</v>
      </c>
      <c r="E485">
        <v>180</v>
      </c>
      <c r="F485" t="s">
        <v>14</v>
      </c>
      <c r="G485" t="s">
        <v>257</v>
      </c>
      <c r="H485">
        <v>0</v>
      </c>
      <c r="I485" t="s">
        <v>290</v>
      </c>
      <c r="J485" t="str">
        <f>IF(Table3_1[[#This Row],[Discount_applied]]=0,"No Discount","Discount Applied")</f>
        <v>No Discount</v>
      </c>
    </row>
    <row r="486" spans="1:10" x14ac:dyDescent="0.3">
      <c r="A486" t="s">
        <v>411</v>
      </c>
      <c r="B486" s="1">
        <v>45761</v>
      </c>
      <c r="C486" t="s">
        <v>251</v>
      </c>
      <c r="D486">
        <v>1</v>
      </c>
      <c r="E486">
        <v>200</v>
      </c>
      <c r="F486" t="s">
        <v>26</v>
      </c>
      <c r="G486" t="s">
        <v>27</v>
      </c>
      <c r="H486">
        <v>0</v>
      </c>
      <c r="I486" t="s">
        <v>293</v>
      </c>
      <c r="J486" t="str">
        <f>IF(Table3_1[[#This Row],[Discount_applied]]=0,"No Discount","Discount Applied")</f>
        <v>No Discount</v>
      </c>
    </row>
    <row r="487" spans="1:10" x14ac:dyDescent="0.3">
      <c r="A487" t="s">
        <v>411</v>
      </c>
      <c r="B487" s="1">
        <v>45761</v>
      </c>
      <c r="C487" t="s">
        <v>266</v>
      </c>
      <c r="D487">
        <v>2</v>
      </c>
      <c r="E487">
        <v>500</v>
      </c>
      <c r="F487" t="s">
        <v>14</v>
      </c>
      <c r="G487" t="s">
        <v>15</v>
      </c>
      <c r="H487">
        <v>15</v>
      </c>
      <c r="I487" t="s">
        <v>296</v>
      </c>
      <c r="J487" t="str">
        <f>IF(Table3_1[[#This Row],[Discount_applied]]=0,"No Discount","Discount Applied")</f>
        <v>Discount Applied</v>
      </c>
    </row>
    <row r="488" spans="1:10" x14ac:dyDescent="0.3">
      <c r="A488" t="s">
        <v>411</v>
      </c>
      <c r="B488" s="1">
        <v>45761</v>
      </c>
      <c r="C488" t="s">
        <v>269</v>
      </c>
      <c r="D488">
        <v>1</v>
      </c>
      <c r="E488">
        <v>180</v>
      </c>
      <c r="F488" t="s">
        <v>26</v>
      </c>
      <c r="G488" t="s">
        <v>27</v>
      </c>
      <c r="H488">
        <v>0</v>
      </c>
      <c r="I488" t="s">
        <v>298</v>
      </c>
      <c r="J488" t="str">
        <f>IF(Table3_1[[#This Row],[Discount_applied]]=0,"No Discount","Discount Applied")</f>
        <v>No Discount</v>
      </c>
    </row>
    <row r="489" spans="1:10" x14ac:dyDescent="0.3">
      <c r="A489" t="s">
        <v>411</v>
      </c>
      <c r="B489" s="1">
        <v>45761</v>
      </c>
      <c r="C489" t="s">
        <v>244</v>
      </c>
      <c r="D489">
        <v>3</v>
      </c>
      <c r="E489">
        <v>450</v>
      </c>
      <c r="F489" t="s">
        <v>14</v>
      </c>
      <c r="G489" t="s">
        <v>257</v>
      </c>
      <c r="H489">
        <v>20</v>
      </c>
      <c r="I489" t="s">
        <v>287</v>
      </c>
      <c r="J489" t="str">
        <f>IF(Table3_1[[#This Row],[Discount_applied]]=0,"No Discount","Discount Applied")</f>
        <v>Discount Applied</v>
      </c>
    </row>
    <row r="490" spans="1:10" x14ac:dyDescent="0.3">
      <c r="A490" t="s">
        <v>411</v>
      </c>
      <c r="B490" s="1">
        <v>45761</v>
      </c>
      <c r="C490" t="s">
        <v>272</v>
      </c>
      <c r="D490">
        <v>1</v>
      </c>
      <c r="E490">
        <v>300</v>
      </c>
      <c r="F490" t="s">
        <v>26</v>
      </c>
      <c r="G490" t="s">
        <v>15</v>
      </c>
      <c r="H490">
        <v>0</v>
      </c>
      <c r="I490" t="s">
        <v>300</v>
      </c>
      <c r="J490" t="str">
        <f>IF(Table3_1[[#This Row],[Discount_applied]]=0,"No Discount","Discount Applied")</f>
        <v>No Discount</v>
      </c>
    </row>
    <row r="491" spans="1:10" x14ac:dyDescent="0.3">
      <c r="A491" t="s">
        <v>411</v>
      </c>
      <c r="B491" s="1">
        <v>45761</v>
      </c>
      <c r="C491" t="s">
        <v>274</v>
      </c>
      <c r="D491">
        <v>2</v>
      </c>
      <c r="E491">
        <v>260</v>
      </c>
      <c r="F491" t="s">
        <v>14</v>
      </c>
      <c r="G491" t="s">
        <v>27</v>
      </c>
      <c r="H491">
        <v>0</v>
      </c>
      <c r="I491" t="s">
        <v>290</v>
      </c>
      <c r="J491" t="str">
        <f>IF(Table3_1[[#This Row],[Discount_applied]]=0,"No Discount","Discount Applied")</f>
        <v>No Discount</v>
      </c>
    </row>
    <row r="492" spans="1:10" x14ac:dyDescent="0.3">
      <c r="A492" t="s">
        <v>411</v>
      </c>
      <c r="B492" s="1">
        <v>45761</v>
      </c>
      <c r="C492" t="s">
        <v>276</v>
      </c>
      <c r="D492">
        <v>1</v>
      </c>
      <c r="E492">
        <v>350</v>
      </c>
      <c r="F492" t="s">
        <v>26</v>
      </c>
      <c r="G492" t="s">
        <v>15</v>
      </c>
      <c r="H492">
        <v>25</v>
      </c>
      <c r="I492" t="s">
        <v>293</v>
      </c>
      <c r="J492" t="str">
        <f>IF(Table3_1[[#This Row],[Discount_applied]]=0,"No Discount","Discount Applied")</f>
        <v>Discount Applied</v>
      </c>
    </row>
    <row r="493" spans="1:10" x14ac:dyDescent="0.3">
      <c r="A493" t="s">
        <v>411</v>
      </c>
      <c r="B493" s="1">
        <v>45761</v>
      </c>
      <c r="C493" t="s">
        <v>274</v>
      </c>
      <c r="D493">
        <v>2</v>
      </c>
      <c r="E493">
        <v>260</v>
      </c>
      <c r="F493" t="s">
        <v>14</v>
      </c>
      <c r="G493" t="s">
        <v>27</v>
      </c>
      <c r="H493">
        <v>0</v>
      </c>
      <c r="I493" t="s">
        <v>261</v>
      </c>
      <c r="J493" t="str">
        <f>IF(Table3_1[[#This Row],[Discount_applied]]=0,"No Discount","Discount Applied")</f>
        <v>No Discount</v>
      </c>
    </row>
    <row r="494" spans="1:10" x14ac:dyDescent="0.3">
      <c r="A494" t="s">
        <v>411</v>
      </c>
      <c r="B494" s="1">
        <v>45761</v>
      </c>
      <c r="C494" t="s">
        <v>276</v>
      </c>
      <c r="D494">
        <v>1</v>
      </c>
      <c r="E494">
        <v>350</v>
      </c>
      <c r="F494" t="s">
        <v>26</v>
      </c>
      <c r="G494" t="s">
        <v>15</v>
      </c>
      <c r="H494">
        <v>0</v>
      </c>
      <c r="I494" t="s">
        <v>267</v>
      </c>
      <c r="J494" t="str">
        <f>IF(Table3_1[[#This Row],[Discount_applied]]=0,"No Discount","Discount Applied")</f>
        <v>No Discount</v>
      </c>
    </row>
    <row r="495" spans="1:10" x14ac:dyDescent="0.3">
      <c r="A495" t="s">
        <v>411</v>
      </c>
      <c r="B495" s="1">
        <v>45761</v>
      </c>
      <c r="C495" t="s">
        <v>278</v>
      </c>
      <c r="D495">
        <v>3</v>
      </c>
      <c r="E495">
        <v>420</v>
      </c>
      <c r="F495" t="s">
        <v>14</v>
      </c>
      <c r="G495" t="s">
        <v>257</v>
      </c>
      <c r="H495">
        <v>40</v>
      </c>
      <c r="I495" t="s">
        <v>252</v>
      </c>
      <c r="J495" t="str">
        <f>IF(Table3_1[[#This Row],[Discount_applied]]=0,"No Discount","Discount Applied")</f>
        <v>Discount Applied</v>
      </c>
    </row>
    <row r="496" spans="1:10" x14ac:dyDescent="0.3">
      <c r="A496" t="s">
        <v>411</v>
      </c>
      <c r="B496" s="1">
        <v>45761</v>
      </c>
      <c r="C496" t="s">
        <v>280</v>
      </c>
      <c r="D496">
        <v>2</v>
      </c>
      <c r="E496">
        <v>240</v>
      </c>
      <c r="F496" t="s">
        <v>26</v>
      </c>
      <c r="G496" t="s">
        <v>15</v>
      </c>
      <c r="H496">
        <v>0</v>
      </c>
      <c r="I496" t="s">
        <v>281</v>
      </c>
      <c r="J496" t="str">
        <f>IF(Table3_1[[#This Row],[Discount_applied]]=0,"No Discount","Discount Applied")</f>
        <v>No Discount</v>
      </c>
    </row>
    <row r="497" spans="1:10" x14ac:dyDescent="0.3">
      <c r="A497" t="s">
        <v>411</v>
      </c>
      <c r="B497" s="1">
        <v>45761</v>
      </c>
      <c r="C497" t="s">
        <v>283</v>
      </c>
      <c r="D497">
        <v>1</v>
      </c>
      <c r="E497">
        <v>450</v>
      </c>
      <c r="F497" t="s">
        <v>14</v>
      </c>
      <c r="G497" t="s">
        <v>27</v>
      </c>
      <c r="H497">
        <v>30</v>
      </c>
      <c r="I497" t="s">
        <v>284</v>
      </c>
      <c r="J497" t="str">
        <f>IF(Table3_1[[#This Row],[Discount_applied]]=0,"No Discount","Discount Applied")</f>
        <v>Discount Applied</v>
      </c>
    </row>
    <row r="498" spans="1:10" x14ac:dyDescent="0.3">
      <c r="A498" t="s">
        <v>411</v>
      </c>
      <c r="B498" s="1">
        <v>45761</v>
      </c>
      <c r="C498" t="s">
        <v>286</v>
      </c>
      <c r="D498">
        <v>2</v>
      </c>
      <c r="E498">
        <v>500</v>
      </c>
      <c r="F498" t="s">
        <v>26</v>
      </c>
      <c r="G498" t="s">
        <v>15</v>
      </c>
      <c r="H498">
        <v>0</v>
      </c>
      <c r="I498" t="s">
        <v>287</v>
      </c>
      <c r="J498" t="str">
        <f>IF(Table3_1[[#This Row],[Discount_applied]]=0,"No Discount","Discount Applied")</f>
        <v>No Discount</v>
      </c>
    </row>
    <row r="499" spans="1:10" x14ac:dyDescent="0.3">
      <c r="A499" t="s">
        <v>411</v>
      </c>
      <c r="B499" s="1">
        <v>45761</v>
      </c>
      <c r="C499" t="s">
        <v>289</v>
      </c>
      <c r="D499">
        <v>1</v>
      </c>
      <c r="E499">
        <v>220</v>
      </c>
      <c r="F499" t="s">
        <v>14</v>
      </c>
      <c r="G499" t="s">
        <v>27</v>
      </c>
      <c r="H499">
        <v>20</v>
      </c>
      <c r="I499" t="s">
        <v>290</v>
      </c>
      <c r="J499" t="str">
        <f>IF(Table3_1[[#This Row],[Discount_applied]]=0,"No Discount","Discount Applied")</f>
        <v>Discount Applied</v>
      </c>
    </row>
    <row r="500" spans="1:10" x14ac:dyDescent="0.3">
      <c r="A500" t="s">
        <v>411</v>
      </c>
      <c r="B500" s="1">
        <v>45761</v>
      </c>
      <c r="C500" t="s">
        <v>292</v>
      </c>
      <c r="D500">
        <v>3</v>
      </c>
      <c r="E500">
        <v>180</v>
      </c>
      <c r="F500" t="s">
        <v>26</v>
      </c>
      <c r="G500" t="s">
        <v>257</v>
      </c>
      <c r="H500">
        <v>0</v>
      </c>
      <c r="I500" t="s">
        <v>293</v>
      </c>
      <c r="J500" t="str">
        <f>IF(Table3_1[[#This Row],[Discount_applied]]=0,"No Discount","Discount Applied")</f>
        <v>No Discount</v>
      </c>
    </row>
    <row r="501" spans="1:10" x14ac:dyDescent="0.3">
      <c r="A501" t="s">
        <v>411</v>
      </c>
      <c r="B501" s="1">
        <v>45761</v>
      </c>
      <c r="C501" t="s">
        <v>295</v>
      </c>
      <c r="D501">
        <v>1</v>
      </c>
      <c r="E501">
        <v>280</v>
      </c>
      <c r="F501" t="s">
        <v>14</v>
      </c>
      <c r="G501" t="s">
        <v>27</v>
      </c>
      <c r="H501">
        <v>0</v>
      </c>
      <c r="I501" t="s">
        <v>296</v>
      </c>
      <c r="J501" t="str">
        <f>IF(Table3_1[[#This Row],[Discount_applied]]=0,"No Discount","Discount Applied")</f>
        <v>No Discount</v>
      </c>
    </row>
    <row r="502" spans="1:10" x14ac:dyDescent="0.3">
      <c r="A502" t="s">
        <v>411</v>
      </c>
      <c r="B502" s="1">
        <v>45761</v>
      </c>
      <c r="C502" t="s">
        <v>266</v>
      </c>
      <c r="D502">
        <v>2</v>
      </c>
      <c r="E502">
        <v>500</v>
      </c>
      <c r="F502" t="s">
        <v>26</v>
      </c>
      <c r="G502" t="s">
        <v>15</v>
      </c>
      <c r="H502">
        <v>10</v>
      </c>
      <c r="I502" t="s">
        <v>298</v>
      </c>
      <c r="J502" t="str">
        <f>IF(Table3_1[[#This Row],[Discount_applied]]=0,"No Discount","Discount Applied")</f>
        <v>Discount Applied</v>
      </c>
    </row>
    <row r="503" spans="1:10" x14ac:dyDescent="0.3">
      <c r="A503" t="s">
        <v>411</v>
      </c>
      <c r="B503" s="1">
        <v>45761</v>
      </c>
      <c r="C503" t="s">
        <v>278</v>
      </c>
      <c r="D503">
        <v>1</v>
      </c>
      <c r="E503">
        <v>160</v>
      </c>
      <c r="F503" t="s">
        <v>14</v>
      </c>
      <c r="G503" t="s">
        <v>257</v>
      </c>
      <c r="H503">
        <v>0</v>
      </c>
      <c r="I503" t="s">
        <v>300</v>
      </c>
      <c r="J503" t="str">
        <f>IF(Table3_1[[#This Row],[Discount_applied]]=0,"No Discount","Discount Applied")</f>
        <v>No Discount</v>
      </c>
    </row>
    <row r="504" spans="1:10" x14ac:dyDescent="0.3">
      <c r="A504" t="s">
        <v>411</v>
      </c>
      <c r="B504" s="1">
        <v>45761</v>
      </c>
      <c r="C504" t="s">
        <v>302</v>
      </c>
      <c r="D504">
        <v>1</v>
      </c>
      <c r="E504">
        <v>380</v>
      </c>
      <c r="F504" t="s">
        <v>26</v>
      </c>
      <c r="G504" t="s">
        <v>27</v>
      </c>
      <c r="H504">
        <v>25</v>
      </c>
      <c r="I504" t="s">
        <v>287</v>
      </c>
      <c r="J504" t="str">
        <f>IF(Table3_1[[#This Row],[Discount_applied]]=0,"No Discount","Discount Applied")</f>
        <v>Discount Applied</v>
      </c>
    </row>
    <row r="505" spans="1:10" x14ac:dyDescent="0.3">
      <c r="A505" t="s">
        <v>411</v>
      </c>
      <c r="B505" s="1">
        <v>45761</v>
      </c>
      <c r="C505" t="s">
        <v>269</v>
      </c>
      <c r="D505">
        <v>2</v>
      </c>
      <c r="E505">
        <v>200</v>
      </c>
      <c r="F505" t="s">
        <v>14</v>
      </c>
      <c r="G505" t="s">
        <v>15</v>
      </c>
      <c r="H505">
        <v>0</v>
      </c>
      <c r="I505" t="s">
        <v>290</v>
      </c>
      <c r="J505" t="str">
        <f>IF(Table3_1[[#This Row],[Discount_applied]]=0,"No Discount","Discount Applied")</f>
        <v>No Discount</v>
      </c>
    </row>
    <row r="506" spans="1:10" x14ac:dyDescent="0.3">
      <c r="A506" t="s">
        <v>411</v>
      </c>
      <c r="B506" s="1">
        <v>45761</v>
      </c>
      <c r="C506" t="s">
        <v>305</v>
      </c>
      <c r="D506">
        <v>1</v>
      </c>
      <c r="E506">
        <v>140</v>
      </c>
      <c r="F506" t="s">
        <v>26</v>
      </c>
      <c r="G506" t="s">
        <v>27</v>
      </c>
      <c r="H506">
        <v>0</v>
      </c>
      <c r="I506" t="s">
        <v>293</v>
      </c>
      <c r="J506" t="str">
        <f>IF(Table3_1[[#This Row],[Discount_applied]]=0,"No Discount","Discount Applied")</f>
        <v>No Discount</v>
      </c>
    </row>
    <row r="507" spans="1:10" x14ac:dyDescent="0.3">
      <c r="A507" t="s">
        <v>411</v>
      </c>
      <c r="B507" s="1">
        <v>45761</v>
      </c>
      <c r="C507" t="s">
        <v>307</v>
      </c>
      <c r="D507">
        <v>4</v>
      </c>
      <c r="E507">
        <v>100</v>
      </c>
      <c r="F507" t="s">
        <v>14</v>
      </c>
      <c r="G507" t="s">
        <v>257</v>
      </c>
      <c r="H507">
        <v>10</v>
      </c>
      <c r="I507" t="s">
        <v>296</v>
      </c>
      <c r="J507" t="str">
        <f>IF(Table3_1[[#This Row],[Discount_applied]]=0,"No Discount","Discount Applied")</f>
        <v>Discount Applied</v>
      </c>
    </row>
    <row r="508" spans="1:10" x14ac:dyDescent="0.3">
      <c r="A508" t="s">
        <v>411</v>
      </c>
      <c r="B508" s="1">
        <v>45761</v>
      </c>
      <c r="C508" t="s">
        <v>309</v>
      </c>
      <c r="D508">
        <v>2</v>
      </c>
      <c r="E508">
        <v>320</v>
      </c>
      <c r="F508" t="s">
        <v>26</v>
      </c>
      <c r="G508" t="s">
        <v>27</v>
      </c>
      <c r="H508">
        <v>0</v>
      </c>
      <c r="I508" t="s">
        <v>298</v>
      </c>
      <c r="J508" t="str">
        <f>IF(Table3_1[[#This Row],[Discount_applied]]=0,"No Discount","Discount Applied")</f>
        <v>No Discount</v>
      </c>
    </row>
    <row r="509" spans="1:10" x14ac:dyDescent="0.3">
      <c r="A509" t="s">
        <v>411</v>
      </c>
      <c r="B509" s="1">
        <v>45761</v>
      </c>
      <c r="C509" t="s">
        <v>272</v>
      </c>
      <c r="D509">
        <v>1</v>
      </c>
      <c r="E509">
        <v>350</v>
      </c>
      <c r="F509" t="s">
        <v>14</v>
      </c>
      <c r="G509" t="s">
        <v>15</v>
      </c>
      <c r="H509">
        <v>15</v>
      </c>
      <c r="I509" t="s">
        <v>287</v>
      </c>
      <c r="J509" t="str">
        <f>IF(Table3_1[[#This Row],[Discount_applied]]=0,"No Discount","Discount Applied")</f>
        <v>Discount Applied</v>
      </c>
    </row>
    <row r="510" spans="1:10" x14ac:dyDescent="0.3">
      <c r="A510" t="s">
        <v>411</v>
      </c>
      <c r="B510" s="1">
        <v>45761</v>
      </c>
      <c r="C510" t="s">
        <v>312</v>
      </c>
      <c r="D510">
        <v>2</v>
      </c>
      <c r="E510">
        <v>240</v>
      </c>
      <c r="F510" t="s">
        <v>26</v>
      </c>
      <c r="G510" t="s">
        <v>257</v>
      </c>
      <c r="H510">
        <v>0</v>
      </c>
      <c r="I510" t="s">
        <v>300</v>
      </c>
      <c r="J510" t="str">
        <f>IF(Table3_1[[#This Row],[Discount_applied]]=0,"No Discount","Discount Applied")</f>
        <v>No Discount</v>
      </c>
    </row>
    <row r="511" spans="1:10" x14ac:dyDescent="0.3">
      <c r="A511" t="s">
        <v>411</v>
      </c>
      <c r="B511" s="1">
        <v>45761</v>
      </c>
      <c r="C511" t="s">
        <v>314</v>
      </c>
      <c r="D511">
        <v>1</v>
      </c>
      <c r="E511">
        <v>300</v>
      </c>
      <c r="F511" t="s">
        <v>14</v>
      </c>
      <c r="G511" t="s">
        <v>27</v>
      </c>
      <c r="H511">
        <v>20</v>
      </c>
      <c r="I511" t="s">
        <v>290</v>
      </c>
      <c r="J511" t="str">
        <f>IF(Table3_1[[#This Row],[Discount_applied]]=0,"No Discount","Discount Applied")</f>
        <v>Discount Applied</v>
      </c>
    </row>
    <row r="512" spans="1:10" x14ac:dyDescent="0.3">
      <c r="A512" t="s">
        <v>411</v>
      </c>
      <c r="B512" s="1">
        <v>45761</v>
      </c>
      <c r="C512" t="s">
        <v>256</v>
      </c>
      <c r="D512">
        <v>3</v>
      </c>
      <c r="E512">
        <v>150</v>
      </c>
      <c r="F512" t="s">
        <v>26</v>
      </c>
      <c r="G512" t="s">
        <v>15</v>
      </c>
      <c r="H512">
        <v>0</v>
      </c>
      <c r="I512" t="s">
        <v>293</v>
      </c>
      <c r="J512" t="str">
        <f>IF(Table3_1[[#This Row],[Discount_applied]]=0,"No Discount","Discount Applied")</f>
        <v>No Discount</v>
      </c>
    </row>
    <row r="513" spans="1:10" x14ac:dyDescent="0.3">
      <c r="A513" t="s">
        <v>411</v>
      </c>
      <c r="B513" s="1">
        <v>45761</v>
      </c>
      <c r="C513" t="s">
        <v>251</v>
      </c>
      <c r="D513">
        <v>2</v>
      </c>
      <c r="E513">
        <v>400</v>
      </c>
      <c r="F513" t="s">
        <v>14</v>
      </c>
      <c r="G513" t="s">
        <v>27</v>
      </c>
      <c r="H513">
        <v>0</v>
      </c>
      <c r="I513" t="s">
        <v>296</v>
      </c>
      <c r="J513" t="str">
        <f>IF(Table3_1[[#This Row],[Discount_applied]]=0,"No Discount","Discount Applied")</f>
        <v>No Discount</v>
      </c>
    </row>
    <row r="514" spans="1:10" x14ac:dyDescent="0.3">
      <c r="A514" t="s">
        <v>411</v>
      </c>
      <c r="B514" s="1">
        <v>45761</v>
      </c>
      <c r="C514" t="s">
        <v>318</v>
      </c>
      <c r="D514">
        <v>1</v>
      </c>
      <c r="E514">
        <v>250</v>
      </c>
      <c r="F514" t="s">
        <v>26</v>
      </c>
      <c r="G514" t="s">
        <v>15</v>
      </c>
      <c r="H514">
        <v>30</v>
      </c>
      <c r="I514" t="s">
        <v>298</v>
      </c>
      <c r="J514" t="str">
        <f>IF(Table3_1[[#This Row],[Discount_applied]]=0,"No Discount","Discount Applied")</f>
        <v>Discount Applied</v>
      </c>
    </row>
    <row r="515" spans="1:10" x14ac:dyDescent="0.3">
      <c r="A515" t="s">
        <v>411</v>
      </c>
      <c r="B515" s="1">
        <v>45761</v>
      </c>
      <c r="C515" t="s">
        <v>280</v>
      </c>
      <c r="D515">
        <v>1</v>
      </c>
      <c r="E515">
        <v>150</v>
      </c>
      <c r="F515" t="s">
        <v>14</v>
      </c>
      <c r="G515" t="s">
        <v>257</v>
      </c>
      <c r="H515">
        <v>0</v>
      </c>
      <c r="I515" t="s">
        <v>287</v>
      </c>
      <c r="J515" t="str">
        <f>IF(Table3_1[[#This Row],[Discount_applied]]=0,"No Discount","Discount Applied")</f>
        <v>No Discount</v>
      </c>
    </row>
    <row r="516" spans="1:10" x14ac:dyDescent="0.3">
      <c r="A516" t="s">
        <v>411</v>
      </c>
      <c r="B516" s="1">
        <v>45761</v>
      </c>
      <c r="C516" t="s">
        <v>244</v>
      </c>
      <c r="D516">
        <v>2</v>
      </c>
      <c r="E516">
        <v>300</v>
      </c>
      <c r="F516" t="s">
        <v>26</v>
      </c>
      <c r="G516" t="s">
        <v>27</v>
      </c>
      <c r="H516">
        <v>0</v>
      </c>
      <c r="I516" t="s">
        <v>300</v>
      </c>
      <c r="J516" t="str">
        <f>IF(Table3_1[[#This Row],[Discount_applied]]=0,"No Discount","Discount Applied")</f>
        <v>No Discount</v>
      </c>
    </row>
    <row r="517" spans="1:10" x14ac:dyDescent="0.3">
      <c r="A517" t="s">
        <v>411</v>
      </c>
      <c r="B517" s="1">
        <v>45761</v>
      </c>
      <c r="C517" t="s">
        <v>322</v>
      </c>
      <c r="D517">
        <v>3</v>
      </c>
      <c r="E517">
        <v>180</v>
      </c>
      <c r="F517" t="s">
        <v>14</v>
      </c>
      <c r="G517" t="s">
        <v>15</v>
      </c>
      <c r="H517">
        <v>10</v>
      </c>
      <c r="I517" t="s">
        <v>443</v>
      </c>
      <c r="J517" t="str">
        <f>IF(Table3_1[[#This Row],[Discount_applied]]=0,"No Discount","Discount Applied")</f>
        <v>Discount Applied</v>
      </c>
    </row>
    <row r="518" spans="1:10" x14ac:dyDescent="0.3">
      <c r="A518" t="s">
        <v>411</v>
      </c>
      <c r="B518" s="1">
        <v>45761</v>
      </c>
      <c r="C518" t="s">
        <v>324</v>
      </c>
      <c r="D518">
        <v>2</v>
      </c>
      <c r="E518">
        <v>90</v>
      </c>
      <c r="F518" t="s">
        <v>26</v>
      </c>
      <c r="G518" t="s">
        <v>27</v>
      </c>
      <c r="H518">
        <v>0</v>
      </c>
      <c r="I518" t="s">
        <v>293</v>
      </c>
      <c r="J518" t="str">
        <f>IF(Table3_1[[#This Row],[Discount_applied]]=0,"No Discount","Discount Applied")</f>
        <v>No Discount</v>
      </c>
    </row>
    <row r="519" spans="1:10" x14ac:dyDescent="0.3">
      <c r="A519" t="s">
        <v>411</v>
      </c>
      <c r="B519" s="1">
        <v>45761</v>
      </c>
      <c r="C519" t="s">
        <v>326</v>
      </c>
      <c r="D519">
        <v>1</v>
      </c>
      <c r="E519">
        <v>320</v>
      </c>
      <c r="F519" t="s">
        <v>14</v>
      </c>
      <c r="G519" t="s">
        <v>257</v>
      </c>
      <c r="H519">
        <v>20</v>
      </c>
      <c r="I519" t="s">
        <v>296</v>
      </c>
      <c r="J519" t="str">
        <f>IF(Table3_1[[#This Row],[Discount_applied]]=0,"No Discount","Discount Applied")</f>
        <v>Discount Applied</v>
      </c>
    </row>
    <row r="520" spans="1:10" x14ac:dyDescent="0.3">
      <c r="A520" t="s">
        <v>411</v>
      </c>
      <c r="B520" s="1">
        <v>45761</v>
      </c>
      <c r="C520" t="s">
        <v>328</v>
      </c>
      <c r="D520">
        <v>3</v>
      </c>
      <c r="E520">
        <v>120</v>
      </c>
      <c r="F520" t="s">
        <v>26</v>
      </c>
      <c r="G520" t="s">
        <v>15</v>
      </c>
      <c r="H520">
        <v>0</v>
      </c>
      <c r="I520" t="s">
        <v>298</v>
      </c>
      <c r="J520" t="str">
        <f>IF(Table3_1[[#This Row],[Discount_applied]]=0,"No Discount","Discount Applied")</f>
        <v>No Discount</v>
      </c>
    </row>
    <row r="521" spans="1:10" x14ac:dyDescent="0.3">
      <c r="A521" t="s">
        <v>411</v>
      </c>
      <c r="B521" s="1">
        <v>45761</v>
      </c>
      <c r="C521" t="s">
        <v>283</v>
      </c>
      <c r="D521">
        <v>1</v>
      </c>
      <c r="E521">
        <v>450</v>
      </c>
      <c r="F521" t="s">
        <v>14</v>
      </c>
      <c r="G521" t="s">
        <v>27</v>
      </c>
      <c r="H521">
        <v>15</v>
      </c>
      <c r="I521" t="s">
        <v>443</v>
      </c>
      <c r="J521" t="str">
        <f>IF(Table3_1[[#This Row],[Discount_applied]]=0,"No Discount","Discount Applied")</f>
        <v>Discount Applied</v>
      </c>
    </row>
    <row r="522" spans="1:10" x14ac:dyDescent="0.3">
      <c r="A522" t="s">
        <v>411</v>
      </c>
      <c r="B522" s="1">
        <v>45761</v>
      </c>
      <c r="C522" t="s">
        <v>331</v>
      </c>
      <c r="D522">
        <v>2</v>
      </c>
      <c r="E522">
        <v>260</v>
      </c>
      <c r="F522" t="s">
        <v>26</v>
      </c>
      <c r="G522" t="s">
        <v>15</v>
      </c>
      <c r="H522">
        <v>0</v>
      </c>
      <c r="I522" t="s">
        <v>300</v>
      </c>
      <c r="J522" t="str">
        <f>IF(Table3_1[[#This Row],[Discount_applied]]=0,"No Discount","Discount Applied")</f>
        <v>No Discount</v>
      </c>
    </row>
    <row r="523" spans="1:10" x14ac:dyDescent="0.3">
      <c r="A523" t="s">
        <v>411</v>
      </c>
      <c r="B523" s="1">
        <v>45761</v>
      </c>
      <c r="C523" t="s">
        <v>333</v>
      </c>
      <c r="D523">
        <v>3</v>
      </c>
      <c r="E523">
        <v>300</v>
      </c>
      <c r="F523" t="s">
        <v>14</v>
      </c>
      <c r="G523" t="s">
        <v>257</v>
      </c>
      <c r="H523">
        <v>20</v>
      </c>
      <c r="I523" t="s">
        <v>290</v>
      </c>
      <c r="J523" t="str">
        <f>IF(Table3_1[[#This Row],[Discount_applied]]=0,"No Discount","Discount Applied")</f>
        <v>Discount Applied</v>
      </c>
    </row>
    <row r="524" spans="1:10" x14ac:dyDescent="0.3">
      <c r="A524" t="s">
        <v>411</v>
      </c>
      <c r="B524" s="1">
        <v>45761</v>
      </c>
      <c r="C524" t="s">
        <v>335</v>
      </c>
      <c r="D524">
        <v>1</v>
      </c>
      <c r="E524">
        <v>200</v>
      </c>
      <c r="F524" t="s">
        <v>26</v>
      </c>
      <c r="G524" t="s">
        <v>27</v>
      </c>
      <c r="H524">
        <v>0</v>
      </c>
      <c r="I524" t="s">
        <v>293</v>
      </c>
      <c r="J524" t="str">
        <f>IF(Table3_1[[#This Row],[Discount_applied]]=0,"No Discount","Discount Applied")</f>
        <v>No Discount</v>
      </c>
    </row>
    <row r="525" spans="1:10" x14ac:dyDescent="0.3">
      <c r="A525" t="s">
        <v>411</v>
      </c>
      <c r="B525" s="1">
        <v>45761</v>
      </c>
      <c r="C525" t="s">
        <v>337</v>
      </c>
      <c r="D525">
        <v>2</v>
      </c>
      <c r="E525">
        <v>240</v>
      </c>
      <c r="F525" t="s">
        <v>14</v>
      </c>
      <c r="G525" t="s">
        <v>27</v>
      </c>
      <c r="H525">
        <v>10</v>
      </c>
      <c r="I525" t="s">
        <v>296</v>
      </c>
      <c r="J525" t="str">
        <f>IF(Table3_1[[#This Row],[Discount_applied]]=0,"No Discount","Discount Applied")</f>
        <v>Discount Applied</v>
      </c>
    </row>
    <row r="526" spans="1:10" x14ac:dyDescent="0.3">
      <c r="A526" t="s">
        <v>411</v>
      </c>
      <c r="B526" s="1">
        <v>45761</v>
      </c>
      <c r="C526" t="s">
        <v>339</v>
      </c>
      <c r="D526">
        <v>1</v>
      </c>
      <c r="E526">
        <v>320</v>
      </c>
      <c r="F526" t="s">
        <v>26</v>
      </c>
      <c r="G526" t="s">
        <v>15</v>
      </c>
      <c r="H526">
        <v>0</v>
      </c>
      <c r="I526" t="s">
        <v>298</v>
      </c>
      <c r="J526" t="str">
        <f>IF(Table3_1[[#This Row],[Discount_applied]]=0,"No Discount","Discount Applied")</f>
        <v>No Discount</v>
      </c>
    </row>
    <row r="527" spans="1:10" x14ac:dyDescent="0.3">
      <c r="A527" t="s">
        <v>411</v>
      </c>
      <c r="B527" s="1">
        <v>45761</v>
      </c>
      <c r="C527" t="s">
        <v>256</v>
      </c>
      <c r="D527">
        <v>4</v>
      </c>
      <c r="E527">
        <v>200</v>
      </c>
      <c r="F527" t="s">
        <v>14</v>
      </c>
      <c r="G527" t="s">
        <v>15</v>
      </c>
      <c r="H527">
        <v>0</v>
      </c>
      <c r="I527" t="s">
        <v>287</v>
      </c>
      <c r="J527" t="str">
        <f>IF(Table3_1[[#This Row],[Discount_applied]]=0,"No Discount","Discount Applied")</f>
        <v>No Discount</v>
      </c>
    </row>
    <row r="528" spans="1:10" x14ac:dyDescent="0.3">
      <c r="A528" t="s">
        <v>411</v>
      </c>
      <c r="B528" s="1">
        <v>45761</v>
      </c>
      <c r="C528" t="s">
        <v>260</v>
      </c>
      <c r="D528">
        <v>1</v>
      </c>
      <c r="E528">
        <v>250</v>
      </c>
      <c r="F528" t="s">
        <v>26</v>
      </c>
      <c r="G528" t="s">
        <v>27</v>
      </c>
      <c r="H528">
        <v>30</v>
      </c>
      <c r="I528" t="s">
        <v>300</v>
      </c>
      <c r="J528" t="str">
        <f>IF(Table3_1[[#This Row],[Discount_applied]]=0,"No Discount","Discount Applied")</f>
        <v>Discount Applied</v>
      </c>
    </row>
    <row r="529" spans="1:10" x14ac:dyDescent="0.3">
      <c r="A529" t="s">
        <v>411</v>
      </c>
      <c r="B529" s="1">
        <v>45761</v>
      </c>
      <c r="C529" t="s">
        <v>263</v>
      </c>
      <c r="D529">
        <v>2</v>
      </c>
      <c r="E529">
        <v>180</v>
      </c>
      <c r="F529" t="s">
        <v>14</v>
      </c>
      <c r="G529" t="s">
        <v>257</v>
      </c>
      <c r="H529">
        <v>0</v>
      </c>
      <c r="I529" t="s">
        <v>290</v>
      </c>
      <c r="J529" t="str">
        <f>IF(Table3_1[[#This Row],[Discount_applied]]=0,"No Discount","Discount Applied")</f>
        <v>No Discount</v>
      </c>
    </row>
    <row r="530" spans="1:10" x14ac:dyDescent="0.3">
      <c r="A530" t="s">
        <v>411</v>
      </c>
      <c r="B530" s="1">
        <v>45761</v>
      </c>
      <c r="C530" t="s">
        <v>251</v>
      </c>
      <c r="D530">
        <v>1</v>
      </c>
      <c r="E530">
        <v>200</v>
      </c>
      <c r="F530" t="s">
        <v>26</v>
      </c>
      <c r="G530" t="s">
        <v>27</v>
      </c>
      <c r="H530">
        <v>0</v>
      </c>
      <c r="I530" t="s">
        <v>293</v>
      </c>
      <c r="J530" t="str">
        <f>IF(Table3_1[[#This Row],[Discount_applied]]=0,"No Discount","Discount Applied")</f>
        <v>No Discount</v>
      </c>
    </row>
    <row r="531" spans="1:10" x14ac:dyDescent="0.3">
      <c r="A531" t="s">
        <v>411</v>
      </c>
      <c r="B531" s="1">
        <v>45761</v>
      </c>
      <c r="C531" t="s">
        <v>266</v>
      </c>
      <c r="D531">
        <v>2</v>
      </c>
      <c r="E531">
        <v>500</v>
      </c>
      <c r="F531" t="s">
        <v>14</v>
      </c>
      <c r="G531" t="s">
        <v>15</v>
      </c>
      <c r="H531">
        <v>15</v>
      </c>
      <c r="I531" t="s">
        <v>296</v>
      </c>
      <c r="J531" t="str">
        <f>IF(Table3_1[[#This Row],[Discount_applied]]=0,"No Discount","Discount Applied")</f>
        <v>Discount Applied</v>
      </c>
    </row>
    <row r="532" spans="1:10" x14ac:dyDescent="0.3">
      <c r="A532" t="s">
        <v>411</v>
      </c>
      <c r="B532" s="1">
        <v>45761</v>
      </c>
      <c r="C532" t="s">
        <v>269</v>
      </c>
      <c r="D532">
        <v>1</v>
      </c>
      <c r="E532">
        <v>180</v>
      </c>
      <c r="F532" t="s">
        <v>26</v>
      </c>
      <c r="G532" t="s">
        <v>27</v>
      </c>
      <c r="H532">
        <v>0</v>
      </c>
      <c r="I532" t="s">
        <v>298</v>
      </c>
      <c r="J532" t="str">
        <f>IF(Table3_1[[#This Row],[Discount_applied]]=0,"No Discount","Discount Applied")</f>
        <v>No Discount</v>
      </c>
    </row>
    <row r="533" spans="1:10" x14ac:dyDescent="0.3">
      <c r="A533" t="s">
        <v>411</v>
      </c>
      <c r="B533" s="1">
        <v>45761</v>
      </c>
      <c r="C533" t="s">
        <v>244</v>
      </c>
      <c r="D533">
        <v>3</v>
      </c>
      <c r="E533">
        <v>450</v>
      </c>
      <c r="F533" t="s">
        <v>14</v>
      </c>
      <c r="G533" t="s">
        <v>257</v>
      </c>
      <c r="H533">
        <v>20</v>
      </c>
      <c r="I533" t="s">
        <v>287</v>
      </c>
      <c r="J533" t="str">
        <f>IF(Table3_1[[#This Row],[Discount_applied]]=0,"No Discount","Discount Applied")</f>
        <v>Discount Applied</v>
      </c>
    </row>
    <row r="534" spans="1:10" x14ac:dyDescent="0.3">
      <c r="A534" t="s">
        <v>411</v>
      </c>
      <c r="B534" s="1">
        <v>45761</v>
      </c>
      <c r="C534" t="s">
        <v>272</v>
      </c>
      <c r="D534">
        <v>1</v>
      </c>
      <c r="E534">
        <v>300</v>
      </c>
      <c r="F534" t="s">
        <v>26</v>
      </c>
      <c r="G534" t="s">
        <v>15</v>
      </c>
      <c r="H534">
        <v>0</v>
      </c>
      <c r="I534" t="s">
        <v>300</v>
      </c>
      <c r="J534" t="str">
        <f>IF(Table3_1[[#This Row],[Discount_applied]]=0,"No Discount","Discount Applied")</f>
        <v>No Discount</v>
      </c>
    </row>
    <row r="535" spans="1:10" x14ac:dyDescent="0.3">
      <c r="A535" t="s">
        <v>411</v>
      </c>
      <c r="B535" s="1">
        <v>45761</v>
      </c>
      <c r="C535" t="s">
        <v>274</v>
      </c>
      <c r="D535">
        <v>2</v>
      </c>
      <c r="E535">
        <v>260</v>
      </c>
      <c r="F535" t="s">
        <v>14</v>
      </c>
      <c r="G535" t="s">
        <v>27</v>
      </c>
      <c r="H535">
        <v>0</v>
      </c>
      <c r="I535" t="s">
        <v>290</v>
      </c>
      <c r="J535" t="str">
        <f>IF(Table3_1[[#This Row],[Discount_applied]]=0,"No Discount","Discount Applied")</f>
        <v>No Discount</v>
      </c>
    </row>
    <row r="536" spans="1:10" x14ac:dyDescent="0.3">
      <c r="A536" t="s">
        <v>411</v>
      </c>
      <c r="B536" s="1">
        <v>45761</v>
      </c>
      <c r="C536" t="s">
        <v>276</v>
      </c>
      <c r="D536">
        <v>1</v>
      </c>
      <c r="E536">
        <v>350</v>
      </c>
      <c r="F536" t="s">
        <v>26</v>
      </c>
      <c r="G536" t="s">
        <v>15</v>
      </c>
      <c r="H536">
        <v>25</v>
      </c>
      <c r="I536" t="s">
        <v>293</v>
      </c>
      <c r="J536" t="str">
        <f>IF(Table3_1[[#This Row],[Discount_applied]]=0,"No Discount","Discount Applied")</f>
        <v>Discount Applied</v>
      </c>
    </row>
    <row r="537" spans="1:10" x14ac:dyDescent="0.3">
      <c r="A537" t="s">
        <v>411</v>
      </c>
      <c r="B537" s="1">
        <v>45761</v>
      </c>
      <c r="C537" t="s">
        <v>278</v>
      </c>
      <c r="D537">
        <v>3</v>
      </c>
      <c r="E537">
        <v>420</v>
      </c>
      <c r="F537" t="s">
        <v>14</v>
      </c>
      <c r="G537" t="s">
        <v>257</v>
      </c>
      <c r="H537">
        <v>0</v>
      </c>
      <c r="I537" t="s">
        <v>296</v>
      </c>
      <c r="J537" t="str">
        <f>IF(Table3_1[[#This Row],[Discount_applied]]=0,"No Discount","Discount Applied")</f>
        <v>No Discount</v>
      </c>
    </row>
    <row r="538" spans="1:10" x14ac:dyDescent="0.3">
      <c r="A538" t="s">
        <v>411</v>
      </c>
      <c r="B538" s="1">
        <v>45761</v>
      </c>
      <c r="C538" t="s">
        <v>286</v>
      </c>
      <c r="D538">
        <v>2</v>
      </c>
      <c r="E538">
        <v>500</v>
      </c>
      <c r="F538" t="s">
        <v>26</v>
      </c>
      <c r="G538" t="s">
        <v>27</v>
      </c>
      <c r="H538">
        <v>0</v>
      </c>
      <c r="I538" t="s">
        <v>298</v>
      </c>
      <c r="J538" t="str">
        <f>IF(Table3_1[[#This Row],[Discount_applied]]=0,"No Discount","Discount Applied")</f>
        <v>No Discount</v>
      </c>
    </row>
    <row r="539" spans="1:10" x14ac:dyDescent="0.3">
      <c r="A539" t="s">
        <v>411</v>
      </c>
      <c r="B539" s="1">
        <v>45761</v>
      </c>
      <c r="C539" t="s">
        <v>289</v>
      </c>
      <c r="D539">
        <v>1</v>
      </c>
      <c r="E539">
        <v>220</v>
      </c>
      <c r="F539" t="s">
        <v>14</v>
      </c>
      <c r="G539" t="s">
        <v>27</v>
      </c>
      <c r="H539">
        <v>10</v>
      </c>
      <c r="I539" t="s">
        <v>287</v>
      </c>
      <c r="J539" t="str">
        <f>IF(Table3_1[[#This Row],[Discount_applied]]=0,"No Discount","Discount Applied")</f>
        <v>Discount Applied</v>
      </c>
    </row>
    <row r="540" spans="1:10" x14ac:dyDescent="0.3">
      <c r="A540" t="s">
        <v>411</v>
      </c>
      <c r="B540" s="1">
        <v>45761</v>
      </c>
      <c r="C540" t="s">
        <v>292</v>
      </c>
      <c r="D540">
        <v>3</v>
      </c>
      <c r="E540">
        <v>180</v>
      </c>
      <c r="F540" t="s">
        <v>26</v>
      </c>
      <c r="G540" t="s">
        <v>257</v>
      </c>
      <c r="H540">
        <v>0</v>
      </c>
      <c r="I540" t="s">
        <v>300</v>
      </c>
      <c r="J540" t="str">
        <f>IF(Table3_1[[#This Row],[Discount_applied]]=0,"No Discount","Discount Applied")</f>
        <v>No Discount</v>
      </c>
    </row>
    <row r="541" spans="1:10" x14ac:dyDescent="0.3">
      <c r="A541" t="s">
        <v>411</v>
      </c>
      <c r="B541" s="1">
        <v>45761</v>
      </c>
      <c r="C541" t="s">
        <v>295</v>
      </c>
      <c r="D541">
        <v>1</v>
      </c>
      <c r="E541">
        <v>280</v>
      </c>
      <c r="F541" t="s">
        <v>14</v>
      </c>
      <c r="G541" t="s">
        <v>15</v>
      </c>
      <c r="H541">
        <v>0</v>
      </c>
      <c r="I541" t="s">
        <v>290</v>
      </c>
      <c r="J541" t="str">
        <f>IF(Table3_1[[#This Row],[Discount_applied]]=0,"No Discount","Discount Applied")</f>
        <v>No Discount</v>
      </c>
    </row>
    <row r="542" spans="1:10" x14ac:dyDescent="0.3">
      <c r="A542" t="s">
        <v>411</v>
      </c>
      <c r="B542" s="1">
        <v>45761</v>
      </c>
      <c r="C542" t="s">
        <v>266</v>
      </c>
      <c r="D542">
        <v>2</v>
      </c>
      <c r="E542">
        <v>500</v>
      </c>
      <c r="F542" t="s">
        <v>26</v>
      </c>
      <c r="G542" t="s">
        <v>15</v>
      </c>
      <c r="H542">
        <v>15</v>
      </c>
      <c r="I542" t="s">
        <v>293</v>
      </c>
      <c r="J542" t="str">
        <f>IF(Table3_1[[#This Row],[Discount_applied]]=0,"No Discount","Discount Applied")</f>
        <v>Discount Applied</v>
      </c>
    </row>
    <row r="543" spans="1:10" x14ac:dyDescent="0.3">
      <c r="A543" t="s">
        <v>411</v>
      </c>
      <c r="B543" s="1">
        <v>45761</v>
      </c>
      <c r="C543" t="s">
        <v>278</v>
      </c>
      <c r="D543">
        <v>1</v>
      </c>
      <c r="E543">
        <v>160</v>
      </c>
      <c r="F543" t="s">
        <v>14</v>
      </c>
      <c r="G543" t="s">
        <v>257</v>
      </c>
      <c r="H543">
        <v>0</v>
      </c>
      <c r="I543" t="s">
        <v>296</v>
      </c>
      <c r="J543" t="str">
        <f>IF(Table3_1[[#This Row],[Discount_applied]]=0,"No Discount","Discount Applied")</f>
        <v>No Discount</v>
      </c>
    </row>
    <row r="544" spans="1:10" x14ac:dyDescent="0.3">
      <c r="A544" t="s">
        <v>411</v>
      </c>
      <c r="B544" s="1">
        <v>45761</v>
      </c>
      <c r="C544" t="s">
        <v>302</v>
      </c>
      <c r="D544">
        <v>1</v>
      </c>
      <c r="E544">
        <v>380</v>
      </c>
      <c r="F544" t="s">
        <v>26</v>
      </c>
      <c r="G544" t="s">
        <v>27</v>
      </c>
      <c r="H544">
        <v>0</v>
      </c>
      <c r="I544" t="s">
        <v>298</v>
      </c>
      <c r="J544" t="str">
        <f>IF(Table3_1[[#This Row],[Discount_applied]]=0,"No Discount","Discount Applied")</f>
        <v>No Discount</v>
      </c>
    </row>
    <row r="545" spans="1:10" x14ac:dyDescent="0.3">
      <c r="A545" t="s">
        <v>411</v>
      </c>
      <c r="B545" s="1">
        <v>45761</v>
      </c>
      <c r="C545" t="s">
        <v>269</v>
      </c>
      <c r="D545">
        <v>2</v>
      </c>
      <c r="E545">
        <v>200</v>
      </c>
      <c r="F545" t="s">
        <v>14</v>
      </c>
      <c r="G545" t="s">
        <v>27</v>
      </c>
      <c r="H545">
        <v>10</v>
      </c>
      <c r="I545" t="s">
        <v>287</v>
      </c>
      <c r="J545" t="str">
        <f>IF(Table3_1[[#This Row],[Discount_applied]]=0,"No Discount","Discount Applied")</f>
        <v>Discount Applied</v>
      </c>
    </row>
    <row r="546" spans="1:10" x14ac:dyDescent="0.3">
      <c r="A546" t="s">
        <v>411</v>
      </c>
      <c r="B546" s="1">
        <v>45761</v>
      </c>
      <c r="C546" t="s">
        <v>305</v>
      </c>
      <c r="D546">
        <v>1</v>
      </c>
      <c r="E546">
        <v>140</v>
      </c>
      <c r="F546" t="s">
        <v>26</v>
      </c>
      <c r="G546" t="s">
        <v>15</v>
      </c>
      <c r="H546">
        <v>0</v>
      </c>
      <c r="I546" t="s">
        <v>300</v>
      </c>
      <c r="J546" t="str">
        <f>IF(Table3_1[[#This Row],[Discount_applied]]=0,"No Discount","Discount Applied")</f>
        <v>No Discount</v>
      </c>
    </row>
    <row r="547" spans="1:10" x14ac:dyDescent="0.3">
      <c r="A547" t="s">
        <v>411</v>
      </c>
      <c r="B547" s="1">
        <v>45761</v>
      </c>
      <c r="C547" t="s">
        <v>307</v>
      </c>
      <c r="D547">
        <v>4</v>
      </c>
      <c r="E547">
        <v>100</v>
      </c>
      <c r="F547" t="s">
        <v>14</v>
      </c>
      <c r="G547" t="s">
        <v>27</v>
      </c>
      <c r="H547">
        <v>0</v>
      </c>
      <c r="I547" t="s">
        <v>290</v>
      </c>
      <c r="J547" t="str">
        <f>IF(Table3_1[[#This Row],[Discount_applied]]=0,"No Discount","Discount Applied")</f>
        <v>No Discount</v>
      </c>
    </row>
    <row r="548" spans="1:10" x14ac:dyDescent="0.3">
      <c r="A548" t="s">
        <v>411</v>
      </c>
      <c r="B548" s="1">
        <v>45761</v>
      </c>
      <c r="C548" t="s">
        <v>295</v>
      </c>
      <c r="D548">
        <v>1</v>
      </c>
      <c r="E548">
        <v>280</v>
      </c>
      <c r="F548" t="s">
        <v>14</v>
      </c>
      <c r="G548" t="s">
        <v>27</v>
      </c>
      <c r="H548">
        <v>20</v>
      </c>
      <c r="I548" t="s">
        <v>287</v>
      </c>
      <c r="J548" t="str">
        <f>IF(Table3_1[[#This Row],[Discount_applied]]=0,"No Discount","Discount Applied")</f>
        <v>Discount Applied</v>
      </c>
    </row>
    <row r="549" spans="1:10" x14ac:dyDescent="0.3">
      <c r="A549" t="s">
        <v>411</v>
      </c>
      <c r="B549" s="1">
        <v>45761</v>
      </c>
      <c r="C549" t="s">
        <v>286</v>
      </c>
      <c r="D549">
        <v>2</v>
      </c>
      <c r="E549">
        <v>500</v>
      </c>
      <c r="F549" t="s">
        <v>26</v>
      </c>
      <c r="G549" t="s">
        <v>15</v>
      </c>
      <c r="H549">
        <v>0</v>
      </c>
      <c r="I549" t="s">
        <v>290</v>
      </c>
      <c r="J549" t="str">
        <f>IF(Table3_1[[#This Row],[Discount_applied]]=0,"No Discount","Discount Applied")</f>
        <v>No Discount</v>
      </c>
    </row>
    <row r="550" spans="1:10" x14ac:dyDescent="0.3">
      <c r="A550" t="s">
        <v>411</v>
      </c>
      <c r="B550" s="1">
        <v>45761</v>
      </c>
      <c r="C550" t="s">
        <v>289</v>
      </c>
      <c r="D550">
        <v>1</v>
      </c>
      <c r="E550">
        <v>220</v>
      </c>
      <c r="F550" t="s">
        <v>14</v>
      </c>
      <c r="G550" t="s">
        <v>257</v>
      </c>
      <c r="H550">
        <v>0</v>
      </c>
      <c r="I550" t="s">
        <v>293</v>
      </c>
      <c r="J550" t="str">
        <f>IF(Table3_1[[#This Row],[Discount_applied]]=0,"No Discount","Discount Applied")</f>
        <v>No Discount</v>
      </c>
    </row>
    <row r="551" spans="1:10" x14ac:dyDescent="0.3">
      <c r="A551" t="s">
        <v>411</v>
      </c>
      <c r="B551" s="1">
        <v>45761</v>
      </c>
      <c r="C551" t="s">
        <v>292</v>
      </c>
      <c r="D551">
        <v>3</v>
      </c>
      <c r="E551">
        <v>180</v>
      </c>
      <c r="F551" t="s">
        <v>26</v>
      </c>
      <c r="G551" t="s">
        <v>27</v>
      </c>
      <c r="H551">
        <v>0</v>
      </c>
      <c r="I551" t="s">
        <v>296</v>
      </c>
      <c r="J551" t="str">
        <f>IF(Table3_1[[#This Row],[Discount_applied]]=0,"No Discount","Discount Applied")</f>
        <v>No Discount</v>
      </c>
    </row>
    <row r="552" spans="1:10" x14ac:dyDescent="0.3">
      <c r="A552" t="s">
        <v>411</v>
      </c>
      <c r="B552" s="1">
        <v>45761</v>
      </c>
      <c r="C552" t="s">
        <v>295</v>
      </c>
      <c r="D552">
        <v>1</v>
      </c>
      <c r="E552">
        <v>280</v>
      </c>
      <c r="F552" t="s">
        <v>14</v>
      </c>
      <c r="G552" t="s">
        <v>15</v>
      </c>
      <c r="H552">
        <v>10</v>
      </c>
      <c r="I552" t="s">
        <v>298</v>
      </c>
      <c r="J552" t="str">
        <f>IF(Table3_1[[#This Row],[Discount_applied]]=0,"No Discount","Discount Applied")</f>
        <v>Discount Applied</v>
      </c>
    </row>
    <row r="553" spans="1:10" x14ac:dyDescent="0.3">
      <c r="A553" t="s">
        <v>411</v>
      </c>
      <c r="B553" s="1">
        <v>45761</v>
      </c>
      <c r="C553" t="s">
        <v>266</v>
      </c>
      <c r="D553">
        <v>2</v>
      </c>
      <c r="E553">
        <v>500</v>
      </c>
      <c r="F553" t="s">
        <v>26</v>
      </c>
      <c r="G553" t="s">
        <v>27</v>
      </c>
      <c r="H553">
        <v>0</v>
      </c>
      <c r="I553" t="s">
        <v>300</v>
      </c>
      <c r="J553" t="str">
        <f>IF(Table3_1[[#This Row],[Discount_applied]]=0,"No Discount","Discount Applied")</f>
        <v>No Discount</v>
      </c>
    </row>
    <row r="554" spans="1:10" x14ac:dyDescent="0.3">
      <c r="A554" t="s">
        <v>411</v>
      </c>
      <c r="B554" s="1">
        <v>45761</v>
      </c>
      <c r="C554" t="s">
        <v>278</v>
      </c>
      <c r="D554">
        <v>1</v>
      </c>
      <c r="E554">
        <v>160</v>
      </c>
      <c r="F554" t="s">
        <v>14</v>
      </c>
      <c r="G554" t="s">
        <v>257</v>
      </c>
      <c r="H554">
        <v>15</v>
      </c>
      <c r="I554" t="s">
        <v>287</v>
      </c>
      <c r="J554" t="str">
        <f>IF(Table3_1[[#This Row],[Discount_applied]]=0,"No Discount","Discount Applied")</f>
        <v>Discount Applied</v>
      </c>
    </row>
    <row r="555" spans="1:10" x14ac:dyDescent="0.3">
      <c r="A555" t="s">
        <v>411</v>
      </c>
      <c r="B555" s="1">
        <v>45761</v>
      </c>
      <c r="C555" t="s">
        <v>302</v>
      </c>
      <c r="D555">
        <v>1</v>
      </c>
      <c r="E555">
        <v>380</v>
      </c>
      <c r="F555" t="s">
        <v>26</v>
      </c>
      <c r="G555" t="s">
        <v>15</v>
      </c>
      <c r="H555">
        <v>0</v>
      </c>
      <c r="I555" t="s">
        <v>290</v>
      </c>
      <c r="J555" t="str">
        <f>IF(Table3_1[[#This Row],[Discount_applied]]=0,"No Discount","Discount Applied")</f>
        <v>No Discount</v>
      </c>
    </row>
    <row r="556" spans="1:10" x14ac:dyDescent="0.3">
      <c r="A556" t="s">
        <v>411</v>
      </c>
      <c r="B556" s="1">
        <v>45761</v>
      </c>
      <c r="C556" t="s">
        <v>269</v>
      </c>
      <c r="D556">
        <v>2</v>
      </c>
      <c r="E556">
        <v>200</v>
      </c>
      <c r="F556" t="s">
        <v>14</v>
      </c>
      <c r="G556" t="s">
        <v>27</v>
      </c>
      <c r="H556">
        <v>0</v>
      </c>
      <c r="I556" t="s">
        <v>293</v>
      </c>
      <c r="J556" t="str">
        <f>IF(Table3_1[[#This Row],[Discount_applied]]=0,"No Discount","Discount Applied")</f>
        <v>No Discount</v>
      </c>
    </row>
    <row r="557" spans="1:10" x14ac:dyDescent="0.3">
      <c r="A557" t="s">
        <v>411</v>
      </c>
      <c r="B557" s="1">
        <v>45761</v>
      </c>
      <c r="C557" t="s">
        <v>305</v>
      </c>
      <c r="D557">
        <v>1</v>
      </c>
      <c r="E557">
        <v>140</v>
      </c>
      <c r="F557" t="s">
        <v>26</v>
      </c>
      <c r="G557" t="s">
        <v>27</v>
      </c>
      <c r="H557">
        <v>20</v>
      </c>
      <c r="I557" t="s">
        <v>296</v>
      </c>
      <c r="J557" t="str">
        <f>IF(Table3_1[[#This Row],[Discount_applied]]=0,"No Discount","Discount Applied")</f>
        <v>Discount Applied</v>
      </c>
    </row>
    <row r="558" spans="1:10" x14ac:dyDescent="0.3">
      <c r="A558" t="s">
        <v>411</v>
      </c>
      <c r="B558" s="1">
        <v>45761</v>
      </c>
      <c r="C558" t="s">
        <v>307</v>
      </c>
      <c r="D558">
        <v>4</v>
      </c>
      <c r="E558">
        <v>100</v>
      </c>
      <c r="F558" t="s">
        <v>14</v>
      </c>
      <c r="G558" t="s">
        <v>257</v>
      </c>
      <c r="H558">
        <v>0</v>
      </c>
      <c r="I558" t="s">
        <v>298</v>
      </c>
      <c r="J558" t="str">
        <f>IF(Table3_1[[#This Row],[Discount_applied]]=0,"No Discount","Discount Applied")</f>
        <v>No Discount</v>
      </c>
    </row>
    <row r="559" spans="1:10" x14ac:dyDescent="0.3">
      <c r="A559" t="s">
        <v>411</v>
      </c>
      <c r="B559" s="1">
        <v>45761</v>
      </c>
      <c r="C559" t="s">
        <v>309</v>
      </c>
      <c r="D559">
        <v>2</v>
      </c>
      <c r="E559">
        <v>320</v>
      </c>
      <c r="F559" t="s">
        <v>26</v>
      </c>
      <c r="G559" t="s">
        <v>15</v>
      </c>
      <c r="H559">
        <v>0</v>
      </c>
      <c r="I559" t="s">
        <v>287</v>
      </c>
      <c r="J559" t="str">
        <f>IF(Table3_1[[#This Row],[Discount_applied]]=0,"No Discount","Discount Applied")</f>
        <v>No Discount</v>
      </c>
    </row>
    <row r="560" spans="1:10" x14ac:dyDescent="0.3">
      <c r="A560" t="s">
        <v>411</v>
      </c>
      <c r="B560" s="1">
        <v>45761</v>
      </c>
      <c r="C560" t="s">
        <v>272</v>
      </c>
      <c r="D560">
        <v>1</v>
      </c>
      <c r="E560">
        <v>350</v>
      </c>
      <c r="F560" t="s">
        <v>14</v>
      </c>
      <c r="G560" t="s">
        <v>27</v>
      </c>
      <c r="H560">
        <v>25</v>
      </c>
      <c r="I560" t="s">
        <v>300</v>
      </c>
      <c r="J560" t="str">
        <f>IF(Table3_1[[#This Row],[Discount_applied]]=0,"No Discount","Discount Applied")</f>
        <v>Discount Applied</v>
      </c>
    </row>
    <row r="561" spans="1:10" x14ac:dyDescent="0.3">
      <c r="A561" t="s">
        <v>411</v>
      </c>
      <c r="B561" s="1">
        <v>45761</v>
      </c>
      <c r="C561" t="s">
        <v>312</v>
      </c>
      <c r="D561">
        <v>2</v>
      </c>
      <c r="E561">
        <v>240</v>
      </c>
      <c r="F561" t="s">
        <v>26</v>
      </c>
      <c r="G561" t="s">
        <v>27</v>
      </c>
      <c r="H561">
        <v>0</v>
      </c>
      <c r="I561" t="s">
        <v>290</v>
      </c>
      <c r="J561" t="str">
        <f>IF(Table3_1[[#This Row],[Discount_applied]]=0,"No Discount","Discount Applied")</f>
        <v>No Discount</v>
      </c>
    </row>
    <row r="562" spans="1:10" x14ac:dyDescent="0.3">
      <c r="A562" t="s">
        <v>411</v>
      </c>
      <c r="B562" s="1">
        <v>45761</v>
      </c>
      <c r="C562" t="s">
        <v>314</v>
      </c>
      <c r="D562">
        <v>1</v>
      </c>
      <c r="E562">
        <v>300</v>
      </c>
      <c r="F562" t="s">
        <v>14</v>
      </c>
      <c r="G562" t="s">
        <v>15</v>
      </c>
      <c r="H562">
        <v>0</v>
      </c>
      <c r="I562" t="s">
        <v>293</v>
      </c>
      <c r="J562" t="str">
        <f>IF(Table3_1[[#This Row],[Discount_applied]]=0,"No Discount","Discount Applied")</f>
        <v>No Discount</v>
      </c>
    </row>
    <row r="563" spans="1:10" x14ac:dyDescent="0.3">
      <c r="A563" t="s">
        <v>411</v>
      </c>
      <c r="B563" s="1">
        <v>45761</v>
      </c>
      <c r="C563" t="s">
        <v>256</v>
      </c>
      <c r="D563">
        <v>3</v>
      </c>
      <c r="E563">
        <v>150</v>
      </c>
      <c r="F563" t="s">
        <v>26</v>
      </c>
      <c r="G563" t="s">
        <v>27</v>
      </c>
      <c r="H563">
        <v>10</v>
      </c>
      <c r="I563" t="s">
        <v>296</v>
      </c>
      <c r="J563" t="str">
        <f>IF(Table3_1[[#This Row],[Discount_applied]]=0,"No Discount","Discount Applied")</f>
        <v>Discount Applied</v>
      </c>
    </row>
    <row r="564" spans="1:10" x14ac:dyDescent="0.3">
      <c r="A564" t="s">
        <v>411</v>
      </c>
      <c r="B564" s="1">
        <v>45761</v>
      </c>
      <c r="C564" t="s">
        <v>251</v>
      </c>
      <c r="D564">
        <v>2</v>
      </c>
      <c r="E564">
        <v>400</v>
      </c>
      <c r="F564" t="s">
        <v>14</v>
      </c>
      <c r="G564" t="s">
        <v>257</v>
      </c>
      <c r="H564">
        <v>0</v>
      </c>
      <c r="I564" t="s">
        <v>298</v>
      </c>
      <c r="J564" t="str">
        <f>IF(Table3_1[[#This Row],[Discount_applied]]=0,"No Discount","Discount Applied")</f>
        <v>No Discount</v>
      </c>
    </row>
    <row r="565" spans="1:10" x14ac:dyDescent="0.3">
      <c r="A565" t="s">
        <v>411</v>
      </c>
      <c r="B565" s="1">
        <v>45761</v>
      </c>
      <c r="C565" t="s">
        <v>318</v>
      </c>
      <c r="D565">
        <v>1</v>
      </c>
      <c r="E565">
        <v>250</v>
      </c>
      <c r="F565" t="s">
        <v>26</v>
      </c>
      <c r="G565" t="s">
        <v>15</v>
      </c>
      <c r="H565">
        <v>0</v>
      </c>
      <c r="I565" t="s">
        <v>287</v>
      </c>
      <c r="J565" t="str">
        <f>IF(Table3_1[[#This Row],[Discount_applied]]=0,"No Discount","Discount Applied")</f>
        <v>No Discount</v>
      </c>
    </row>
    <row r="566" spans="1:10" x14ac:dyDescent="0.3">
      <c r="A566" t="s">
        <v>411</v>
      </c>
      <c r="B566" s="1">
        <v>45761</v>
      </c>
      <c r="C566" t="s">
        <v>280</v>
      </c>
      <c r="D566">
        <v>1</v>
      </c>
      <c r="E566">
        <v>150</v>
      </c>
      <c r="F566" t="s">
        <v>14</v>
      </c>
      <c r="G566" t="s">
        <v>27</v>
      </c>
      <c r="H566">
        <v>15</v>
      </c>
      <c r="I566" t="s">
        <v>300</v>
      </c>
      <c r="J566" t="str">
        <f>IF(Table3_1[[#This Row],[Discount_applied]]=0,"No Discount","Discount Applied")</f>
        <v>Discount Applied</v>
      </c>
    </row>
    <row r="567" spans="1:10" x14ac:dyDescent="0.3">
      <c r="A567" t="s">
        <v>411</v>
      </c>
      <c r="B567" s="1">
        <v>45761</v>
      </c>
      <c r="C567" t="s">
        <v>244</v>
      </c>
      <c r="D567">
        <v>2</v>
      </c>
      <c r="E567">
        <v>300</v>
      </c>
      <c r="F567" t="s">
        <v>26</v>
      </c>
      <c r="G567" t="s">
        <v>27</v>
      </c>
      <c r="H567">
        <v>0</v>
      </c>
      <c r="I567" t="s">
        <v>290</v>
      </c>
      <c r="J567" t="str">
        <f>IF(Table3_1[[#This Row],[Discount_applied]]=0,"No Discount","Discount Applied")</f>
        <v>No Discount</v>
      </c>
    </row>
    <row r="568" spans="1:10" x14ac:dyDescent="0.3">
      <c r="A568" t="s">
        <v>411</v>
      </c>
      <c r="B568" s="1">
        <v>45761</v>
      </c>
      <c r="C568" t="s">
        <v>322</v>
      </c>
      <c r="D568">
        <v>3</v>
      </c>
      <c r="E568">
        <v>180</v>
      </c>
      <c r="F568" t="s">
        <v>14</v>
      </c>
      <c r="G568" t="s">
        <v>15</v>
      </c>
      <c r="H568">
        <v>0</v>
      </c>
      <c r="I568" t="s">
        <v>293</v>
      </c>
      <c r="J568" t="str">
        <f>IF(Table3_1[[#This Row],[Discount_applied]]=0,"No Discount","Discount Applied")</f>
        <v>No Discount</v>
      </c>
    </row>
    <row r="569" spans="1:10" x14ac:dyDescent="0.3">
      <c r="A569" t="s">
        <v>411</v>
      </c>
      <c r="B569" s="1">
        <v>45761</v>
      </c>
      <c r="C569" t="s">
        <v>324</v>
      </c>
      <c r="D569">
        <v>2</v>
      </c>
      <c r="E569">
        <v>90</v>
      </c>
      <c r="F569" t="s">
        <v>26</v>
      </c>
      <c r="G569" t="s">
        <v>27</v>
      </c>
      <c r="H569">
        <v>20</v>
      </c>
      <c r="I569" t="s">
        <v>296</v>
      </c>
      <c r="J569" t="str">
        <f>IF(Table3_1[[#This Row],[Discount_applied]]=0,"No Discount","Discount Applied")</f>
        <v>Discount Applied</v>
      </c>
    </row>
    <row r="570" spans="1:10" x14ac:dyDescent="0.3">
      <c r="A570" t="s">
        <v>411</v>
      </c>
      <c r="B570" s="1">
        <v>45761</v>
      </c>
      <c r="C570" t="s">
        <v>326</v>
      </c>
      <c r="D570">
        <v>1</v>
      </c>
      <c r="E570">
        <v>320</v>
      </c>
      <c r="F570" t="s">
        <v>14</v>
      </c>
      <c r="G570" t="s">
        <v>257</v>
      </c>
      <c r="H570">
        <v>0</v>
      </c>
      <c r="I570" t="s">
        <v>298</v>
      </c>
      <c r="J570" t="str">
        <f>IF(Table3_1[[#This Row],[Discount_applied]]=0,"No Discount","Discount Applied")</f>
        <v>No Discount</v>
      </c>
    </row>
    <row r="571" spans="1:10" x14ac:dyDescent="0.3">
      <c r="A571" t="s">
        <v>411</v>
      </c>
      <c r="B571" s="1">
        <v>45761</v>
      </c>
      <c r="C571" t="s">
        <v>328</v>
      </c>
      <c r="D571">
        <v>3</v>
      </c>
      <c r="E571">
        <v>120</v>
      </c>
      <c r="F571" t="s">
        <v>26</v>
      </c>
      <c r="G571" t="s">
        <v>27</v>
      </c>
      <c r="H571">
        <v>0</v>
      </c>
      <c r="I571" t="s">
        <v>287</v>
      </c>
      <c r="J571" t="str">
        <f>IF(Table3_1[[#This Row],[Discount_applied]]=0,"No Discount","Discount Applied")</f>
        <v>No Discount</v>
      </c>
    </row>
    <row r="572" spans="1:10" x14ac:dyDescent="0.3">
      <c r="A572" t="s">
        <v>411</v>
      </c>
      <c r="B572" s="1">
        <v>45761</v>
      </c>
      <c r="C572" t="s">
        <v>283</v>
      </c>
      <c r="D572">
        <v>1</v>
      </c>
      <c r="E572">
        <v>450</v>
      </c>
      <c r="F572" t="s">
        <v>14</v>
      </c>
      <c r="G572" t="s">
        <v>15</v>
      </c>
      <c r="H572">
        <v>10</v>
      </c>
      <c r="I572" t="s">
        <v>300</v>
      </c>
      <c r="J572" t="str">
        <f>IF(Table3_1[[#This Row],[Discount_applied]]=0,"No Discount","Discount Applied")</f>
        <v>Discount Applied</v>
      </c>
    </row>
    <row r="573" spans="1:10" x14ac:dyDescent="0.3">
      <c r="A573" t="s">
        <v>411</v>
      </c>
      <c r="B573" s="1">
        <v>45761</v>
      </c>
      <c r="C573" t="s">
        <v>331</v>
      </c>
      <c r="D573">
        <v>2</v>
      </c>
      <c r="E573">
        <v>260</v>
      </c>
      <c r="F573" t="s">
        <v>26</v>
      </c>
      <c r="G573" t="s">
        <v>15</v>
      </c>
      <c r="H573">
        <v>0</v>
      </c>
      <c r="I573" t="s">
        <v>290</v>
      </c>
      <c r="J573" t="str">
        <f>IF(Table3_1[[#This Row],[Discount_applied]]=0,"No Discount","Discount Applied")</f>
        <v>No Discount</v>
      </c>
    </row>
    <row r="574" spans="1:10" x14ac:dyDescent="0.3">
      <c r="A574" t="s">
        <v>411</v>
      </c>
      <c r="B574" s="1">
        <v>45761</v>
      </c>
      <c r="C574" t="s">
        <v>333</v>
      </c>
      <c r="D574">
        <v>3</v>
      </c>
      <c r="E574">
        <v>300</v>
      </c>
      <c r="F574" t="s">
        <v>14</v>
      </c>
      <c r="G574" t="s">
        <v>257</v>
      </c>
      <c r="H574">
        <v>0</v>
      </c>
      <c r="I574" t="s">
        <v>293</v>
      </c>
      <c r="J574" t="str">
        <f>IF(Table3_1[[#This Row],[Discount_applied]]=0,"No Discount","Discount Applied")</f>
        <v>No Discount</v>
      </c>
    </row>
    <row r="575" spans="1:10" x14ac:dyDescent="0.3">
      <c r="A575" t="s">
        <v>411</v>
      </c>
      <c r="B575" s="1">
        <v>45761</v>
      </c>
      <c r="C575" t="s">
        <v>335</v>
      </c>
      <c r="D575">
        <v>1</v>
      </c>
      <c r="E575">
        <v>200</v>
      </c>
      <c r="F575" t="s">
        <v>26</v>
      </c>
      <c r="G575" t="s">
        <v>27</v>
      </c>
      <c r="H575">
        <v>25</v>
      </c>
      <c r="I575" t="s">
        <v>296</v>
      </c>
      <c r="J575" t="str">
        <f>IF(Table3_1[[#This Row],[Discount_applied]]=0,"No Discount","Discount Applied")</f>
        <v>Discount Applied</v>
      </c>
    </row>
    <row r="576" spans="1:10" x14ac:dyDescent="0.3">
      <c r="A576" t="s">
        <v>411</v>
      </c>
      <c r="B576" s="1">
        <v>45761</v>
      </c>
      <c r="C576" t="s">
        <v>337</v>
      </c>
      <c r="D576">
        <v>2</v>
      </c>
      <c r="E576">
        <v>240</v>
      </c>
      <c r="F576" t="s">
        <v>14</v>
      </c>
      <c r="G576" t="s">
        <v>27</v>
      </c>
      <c r="H576">
        <v>0</v>
      </c>
      <c r="I576" t="s">
        <v>298</v>
      </c>
      <c r="J576" t="str">
        <f>IF(Table3_1[[#This Row],[Discount_applied]]=0,"No Discount","Discount Applied")</f>
        <v>No Discount</v>
      </c>
    </row>
    <row r="577" spans="1:10" x14ac:dyDescent="0.3">
      <c r="A577" t="s">
        <v>411</v>
      </c>
      <c r="B577" s="1">
        <v>45761</v>
      </c>
      <c r="C577" t="s">
        <v>339</v>
      </c>
      <c r="D577">
        <v>1</v>
      </c>
      <c r="E577">
        <v>320</v>
      </c>
      <c r="F577" t="s">
        <v>26</v>
      </c>
      <c r="G577" t="s">
        <v>15</v>
      </c>
      <c r="H577">
        <v>0</v>
      </c>
      <c r="I577" t="s">
        <v>287</v>
      </c>
      <c r="J577" t="str">
        <f>IF(Table3_1[[#This Row],[Discount_applied]]=0,"No Discount","Discount Applied")</f>
        <v>No Discount</v>
      </c>
    </row>
    <row r="578" spans="1:10" x14ac:dyDescent="0.3">
      <c r="A578" t="s">
        <v>411</v>
      </c>
      <c r="B578" s="1">
        <v>45761</v>
      </c>
      <c r="C578" t="s">
        <v>256</v>
      </c>
      <c r="D578">
        <v>4</v>
      </c>
      <c r="E578">
        <v>200</v>
      </c>
      <c r="F578" t="s">
        <v>14</v>
      </c>
      <c r="G578" t="s">
        <v>27</v>
      </c>
      <c r="H578">
        <v>0</v>
      </c>
      <c r="I578" t="s">
        <v>300</v>
      </c>
      <c r="J578" t="str">
        <f>IF(Table3_1[[#This Row],[Discount_applied]]=0,"No Discount","Discount Applied")</f>
        <v>No Discount</v>
      </c>
    </row>
    <row r="579" spans="1:10" x14ac:dyDescent="0.3">
      <c r="A579" t="s">
        <v>411</v>
      </c>
      <c r="B579" s="1">
        <v>45761</v>
      </c>
      <c r="C579" t="s">
        <v>260</v>
      </c>
      <c r="D579">
        <v>1</v>
      </c>
      <c r="E579">
        <v>250</v>
      </c>
      <c r="F579" t="s">
        <v>26</v>
      </c>
      <c r="G579" t="s">
        <v>257</v>
      </c>
      <c r="H579">
        <v>15</v>
      </c>
      <c r="I579" t="s">
        <v>290</v>
      </c>
      <c r="J579" t="str">
        <f>IF(Table3_1[[#This Row],[Discount_applied]]=0,"No Discount","Discount Applied")</f>
        <v>Discount Applied</v>
      </c>
    </row>
    <row r="580" spans="1:10" x14ac:dyDescent="0.3">
      <c r="A580" t="s">
        <v>411</v>
      </c>
      <c r="B580" s="1">
        <v>45761</v>
      </c>
      <c r="C580" t="s">
        <v>263</v>
      </c>
      <c r="D580">
        <v>2</v>
      </c>
      <c r="E580">
        <v>180</v>
      </c>
      <c r="F580" t="s">
        <v>14</v>
      </c>
      <c r="G580" t="s">
        <v>27</v>
      </c>
      <c r="H580">
        <v>0</v>
      </c>
      <c r="I580" t="s">
        <v>293</v>
      </c>
      <c r="J580" t="str">
        <f>IF(Table3_1[[#This Row],[Discount_applied]]=0,"No Discount","Discount Applied")</f>
        <v>No Discount</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9ADD-D157-4687-8F2B-44D95A9FBC7B}">
  <sheetPr>
    <tabColor rgb="FFFF6600"/>
  </sheetPr>
  <dimension ref="A1:N580"/>
  <sheetViews>
    <sheetView zoomScaleNormal="100" workbookViewId="0">
      <selection activeCell="A10" sqref="A10"/>
    </sheetView>
  </sheetViews>
  <sheetFormatPr defaultRowHeight="14.4" x14ac:dyDescent="0.3"/>
  <cols>
    <col min="1" max="1" width="40.6640625" bestFit="1" customWidth="1"/>
    <col min="2" max="2" width="56.5546875" bestFit="1" customWidth="1"/>
    <col min="3" max="3" width="24.88671875" bestFit="1" customWidth="1"/>
    <col min="4" max="4" width="27.5546875" bestFit="1" customWidth="1"/>
    <col min="5" max="6" width="18.109375" bestFit="1" customWidth="1"/>
    <col min="7" max="8" width="17.5546875" customWidth="1"/>
    <col min="10" max="10" width="1.6640625" customWidth="1"/>
    <col min="14" max="14" width="4" customWidth="1"/>
  </cols>
  <sheetData>
    <row r="1" spans="1:14" ht="18" x14ac:dyDescent="0.35">
      <c r="A1" t="s">
        <v>3</v>
      </c>
      <c r="B1" t="s">
        <v>4</v>
      </c>
      <c r="C1" t="s">
        <v>0</v>
      </c>
      <c r="D1" t="s">
        <v>5</v>
      </c>
      <c r="E1" t="s">
        <v>6</v>
      </c>
      <c r="F1" t="s">
        <v>7</v>
      </c>
      <c r="G1" t="s">
        <v>8</v>
      </c>
      <c r="H1" t="s">
        <v>9</v>
      </c>
      <c r="J1" s="3"/>
      <c r="K1" s="4" t="s">
        <v>241</v>
      </c>
      <c r="L1" s="5"/>
      <c r="M1" s="5"/>
      <c r="N1" s="6"/>
    </row>
    <row r="2" spans="1:14" x14ac:dyDescent="0.3">
      <c r="A2" t="s">
        <v>10</v>
      </c>
      <c r="B2" t="s">
        <v>11</v>
      </c>
      <c r="J2" s="7"/>
      <c r="K2" s="8"/>
      <c r="L2" s="8"/>
      <c r="M2" s="8"/>
      <c r="N2" s="9"/>
    </row>
    <row r="3" spans="1:14" ht="21.6" thickBot="1" x14ac:dyDescent="0.45">
      <c r="A3" t="s">
        <v>12</v>
      </c>
      <c r="B3" t="s">
        <v>13</v>
      </c>
      <c r="C3">
        <v>1</v>
      </c>
      <c r="D3">
        <v>350</v>
      </c>
      <c r="E3" t="s">
        <v>14</v>
      </c>
      <c r="F3" t="s">
        <v>15</v>
      </c>
      <c r="G3" t="s">
        <v>16</v>
      </c>
      <c r="J3" s="10"/>
      <c r="K3" s="11" t="s">
        <v>242</v>
      </c>
      <c r="L3" s="12"/>
      <c r="M3" s="12"/>
      <c r="N3" s="13"/>
    </row>
    <row r="4" spans="1:14" x14ac:dyDescent="0.3">
      <c r="A4" t="s">
        <v>17</v>
      </c>
      <c r="B4" t="s">
        <v>18</v>
      </c>
      <c r="C4">
        <v>200</v>
      </c>
      <c r="D4" t="s">
        <v>19</v>
      </c>
      <c r="E4">
        <v>0</v>
      </c>
      <c r="F4" t="s">
        <v>20</v>
      </c>
    </row>
    <row r="5" spans="1:14" x14ac:dyDescent="0.3">
      <c r="A5" t="s">
        <v>21</v>
      </c>
      <c r="B5" t="s">
        <v>22</v>
      </c>
      <c r="C5" t="s">
        <v>23</v>
      </c>
    </row>
    <row r="6" spans="1:14" x14ac:dyDescent="0.3">
      <c r="A6" t="s">
        <v>24</v>
      </c>
      <c r="B6" t="s">
        <v>25</v>
      </c>
      <c r="C6" t="s">
        <v>26</v>
      </c>
      <c r="D6" t="s">
        <v>27</v>
      </c>
      <c r="E6">
        <v>0</v>
      </c>
      <c r="F6" t="s">
        <v>28</v>
      </c>
    </row>
    <row r="7" spans="1:14" x14ac:dyDescent="0.3">
      <c r="A7" t="s">
        <v>29</v>
      </c>
      <c r="B7" t="s">
        <v>30</v>
      </c>
      <c r="C7" t="s">
        <v>31</v>
      </c>
      <c r="D7" t="s">
        <v>32</v>
      </c>
    </row>
    <row r="8" spans="1:14" x14ac:dyDescent="0.3">
      <c r="A8" t="s">
        <v>33</v>
      </c>
      <c r="B8" t="s">
        <v>34</v>
      </c>
      <c r="C8" t="s">
        <v>35</v>
      </c>
      <c r="D8" t="s">
        <v>36</v>
      </c>
    </row>
    <row r="9" spans="1:14" x14ac:dyDescent="0.3">
      <c r="A9" t="s">
        <v>37</v>
      </c>
      <c r="B9" t="s">
        <v>38</v>
      </c>
      <c r="C9" t="s">
        <v>39</v>
      </c>
    </row>
    <row r="10" spans="1:14" x14ac:dyDescent="0.3">
      <c r="A10" t="s">
        <v>243</v>
      </c>
      <c r="B10" t="s">
        <v>244</v>
      </c>
      <c r="C10">
        <v>3</v>
      </c>
      <c r="D10">
        <v>450</v>
      </c>
      <c r="E10" t="s">
        <v>245</v>
      </c>
      <c r="F10" t="s">
        <v>246</v>
      </c>
      <c r="G10">
        <v>0</v>
      </c>
      <c r="H10" t="s">
        <v>20</v>
      </c>
    </row>
    <row r="11" spans="1:14" x14ac:dyDescent="0.3">
      <c r="A11" t="s">
        <v>43</v>
      </c>
      <c r="B11" t="s">
        <v>44</v>
      </c>
    </row>
    <row r="12" spans="1:14" x14ac:dyDescent="0.3">
      <c r="A12" t="s">
        <v>45</v>
      </c>
      <c r="B12" t="s">
        <v>46</v>
      </c>
    </row>
    <row r="13" spans="1:14" x14ac:dyDescent="0.3">
      <c r="A13" t="s">
        <v>47</v>
      </c>
      <c r="B13" t="s">
        <v>48</v>
      </c>
    </row>
    <row r="14" spans="1:14" x14ac:dyDescent="0.3">
      <c r="A14" t="s">
        <v>49</v>
      </c>
      <c r="B14" t="s">
        <v>50</v>
      </c>
    </row>
    <row r="15" spans="1:14" x14ac:dyDescent="0.3">
      <c r="A15" t="s">
        <v>51</v>
      </c>
      <c r="B15" t="s">
        <v>52</v>
      </c>
      <c r="C15" t="s">
        <v>53</v>
      </c>
    </row>
    <row r="16" spans="1:14" x14ac:dyDescent="0.3">
      <c r="A16" t="s">
        <v>54</v>
      </c>
      <c r="B16" t="s">
        <v>55</v>
      </c>
      <c r="C16" t="s">
        <v>56</v>
      </c>
      <c r="D16">
        <v>30</v>
      </c>
      <c r="E16" t="s">
        <v>57</v>
      </c>
    </row>
    <row r="17" spans="1:7" x14ac:dyDescent="0.3">
      <c r="A17" t="s">
        <v>58</v>
      </c>
      <c r="B17" t="s">
        <v>59</v>
      </c>
      <c r="C17" t="s">
        <v>60</v>
      </c>
      <c r="D17" t="s">
        <v>61</v>
      </c>
      <c r="E17" t="s">
        <v>62</v>
      </c>
    </row>
    <row r="18" spans="1:7" x14ac:dyDescent="0.3">
      <c r="A18" t="s">
        <v>63</v>
      </c>
      <c r="B18" t="s">
        <v>64</v>
      </c>
      <c r="C18" t="s">
        <v>31</v>
      </c>
      <c r="D18" t="s">
        <v>65</v>
      </c>
      <c r="E18" t="s">
        <v>66</v>
      </c>
    </row>
    <row r="19" spans="1:7" x14ac:dyDescent="0.3">
      <c r="A19" t="s">
        <v>67</v>
      </c>
      <c r="B19" t="s">
        <v>68</v>
      </c>
      <c r="C19" t="s">
        <v>69</v>
      </c>
      <c r="D19" t="s">
        <v>60</v>
      </c>
      <c r="E19" t="s">
        <v>70</v>
      </c>
      <c r="F19">
        <v>0</v>
      </c>
      <c r="G19" t="s">
        <v>71</v>
      </c>
    </row>
    <row r="20" spans="1:7" x14ac:dyDescent="0.3">
      <c r="A20" t="s">
        <v>72</v>
      </c>
      <c r="B20" t="s">
        <v>73</v>
      </c>
      <c r="C20" t="s">
        <v>31</v>
      </c>
      <c r="D20" t="s">
        <v>65</v>
      </c>
      <c r="E20">
        <v>0</v>
      </c>
      <c r="F20" t="s">
        <v>74</v>
      </c>
    </row>
    <row r="21" spans="1:7" x14ac:dyDescent="0.3">
      <c r="A21" t="s">
        <v>75</v>
      </c>
      <c r="B21" t="s">
        <v>76</v>
      </c>
      <c r="C21">
        <v>500</v>
      </c>
      <c r="D21" t="s">
        <v>60</v>
      </c>
      <c r="E21" t="s">
        <v>61</v>
      </c>
      <c r="F21" t="s">
        <v>77</v>
      </c>
    </row>
    <row r="22" spans="1:7" x14ac:dyDescent="0.3">
      <c r="A22" t="s">
        <v>78</v>
      </c>
      <c r="B22" t="s">
        <v>79</v>
      </c>
      <c r="C22">
        <v>1</v>
      </c>
      <c r="D22">
        <v>160</v>
      </c>
      <c r="E22" t="s">
        <v>31</v>
      </c>
      <c r="F22" t="s">
        <v>70</v>
      </c>
      <c r="G22" t="s">
        <v>80</v>
      </c>
    </row>
    <row r="23" spans="1:7" x14ac:dyDescent="0.3">
      <c r="A23" t="s">
        <v>81</v>
      </c>
      <c r="B23" t="s">
        <v>82</v>
      </c>
      <c r="C23" t="s">
        <v>60</v>
      </c>
      <c r="D23" t="s">
        <v>65</v>
      </c>
      <c r="E23" t="s">
        <v>83</v>
      </c>
    </row>
    <row r="24" spans="1:7" x14ac:dyDescent="0.3">
      <c r="A24" t="s">
        <v>84</v>
      </c>
      <c r="B24" t="s">
        <v>85</v>
      </c>
      <c r="C24" t="s">
        <v>31</v>
      </c>
      <c r="D24" t="s">
        <v>61</v>
      </c>
      <c r="E24" t="s">
        <v>86</v>
      </c>
    </row>
    <row r="25" spans="1:7" x14ac:dyDescent="0.3">
      <c r="A25" t="s">
        <v>87</v>
      </c>
      <c r="B25" t="s">
        <v>88</v>
      </c>
      <c r="C25" t="s">
        <v>60</v>
      </c>
      <c r="D25" t="s">
        <v>65</v>
      </c>
      <c r="E25">
        <v>0</v>
      </c>
      <c r="F25" t="s">
        <v>71</v>
      </c>
    </row>
    <row r="26" spans="1:7" x14ac:dyDescent="0.3">
      <c r="A26" t="s">
        <v>89</v>
      </c>
      <c r="B26" t="s">
        <v>90</v>
      </c>
      <c r="C26">
        <v>100</v>
      </c>
      <c r="D26" t="s">
        <v>31</v>
      </c>
      <c r="E26" t="s">
        <v>70</v>
      </c>
      <c r="F26">
        <v>10</v>
      </c>
      <c r="G26" t="s">
        <v>74</v>
      </c>
    </row>
    <row r="27" spans="1:7" x14ac:dyDescent="0.3">
      <c r="A27" t="s">
        <v>91</v>
      </c>
      <c r="B27" t="s">
        <v>92</v>
      </c>
      <c r="C27">
        <v>320</v>
      </c>
      <c r="D27" t="s">
        <v>60</v>
      </c>
      <c r="E27" t="s">
        <v>65</v>
      </c>
      <c r="F27">
        <v>0</v>
      </c>
      <c r="G27" t="s">
        <v>93</v>
      </c>
    </row>
    <row r="28" spans="1:7" x14ac:dyDescent="0.3">
      <c r="A28" t="s">
        <v>94</v>
      </c>
      <c r="B28" t="s">
        <v>95</v>
      </c>
      <c r="C28">
        <v>350</v>
      </c>
      <c r="D28" t="s">
        <v>31</v>
      </c>
      <c r="E28" t="s">
        <v>61</v>
      </c>
      <c r="F28" t="s">
        <v>96</v>
      </c>
    </row>
    <row r="29" spans="1:7" x14ac:dyDescent="0.3">
      <c r="A29" t="s">
        <v>97</v>
      </c>
      <c r="B29" t="s">
        <v>98</v>
      </c>
      <c r="C29" t="s">
        <v>60</v>
      </c>
      <c r="D29" t="s">
        <v>70</v>
      </c>
      <c r="E29" t="s">
        <v>80</v>
      </c>
    </row>
    <row r="30" spans="1:7" x14ac:dyDescent="0.3">
      <c r="A30" t="s">
        <v>99</v>
      </c>
      <c r="B30" t="s">
        <v>100</v>
      </c>
      <c r="C30" t="s">
        <v>31</v>
      </c>
      <c r="D30" t="s">
        <v>65</v>
      </c>
      <c r="E30" t="s">
        <v>66</v>
      </c>
    </row>
    <row r="31" spans="1:7" x14ac:dyDescent="0.3">
      <c r="A31" t="s">
        <v>101</v>
      </c>
      <c r="B31" t="s">
        <v>102</v>
      </c>
      <c r="C31">
        <v>150</v>
      </c>
      <c r="D31" t="s">
        <v>60</v>
      </c>
      <c r="E31" t="s">
        <v>61</v>
      </c>
      <c r="F31" t="s">
        <v>103</v>
      </c>
    </row>
    <row r="32" spans="1:7" x14ac:dyDescent="0.3">
      <c r="A32" t="s">
        <v>104</v>
      </c>
      <c r="B32" t="s">
        <v>105</v>
      </c>
      <c r="C32" t="s">
        <v>31</v>
      </c>
      <c r="D32" t="s">
        <v>65</v>
      </c>
      <c r="E32" t="s">
        <v>106</v>
      </c>
    </row>
    <row r="33" spans="1:8" x14ac:dyDescent="0.3">
      <c r="A33" t="s">
        <v>107</v>
      </c>
      <c r="B33" t="s">
        <v>108</v>
      </c>
      <c r="C33">
        <v>250</v>
      </c>
      <c r="D33" t="s">
        <v>60</v>
      </c>
      <c r="E33" t="s">
        <v>61</v>
      </c>
      <c r="F33">
        <v>30</v>
      </c>
      <c r="G33" t="s">
        <v>93</v>
      </c>
    </row>
    <row r="34" spans="1:8" x14ac:dyDescent="0.3">
      <c r="A34" t="s">
        <v>109</v>
      </c>
      <c r="B34" t="s">
        <v>110</v>
      </c>
      <c r="C34">
        <v>150</v>
      </c>
      <c r="D34" t="s">
        <v>31</v>
      </c>
      <c r="E34" t="s">
        <v>70</v>
      </c>
      <c r="F34" t="s">
        <v>62</v>
      </c>
    </row>
    <row r="35" spans="1:8" x14ac:dyDescent="0.3">
      <c r="A35" t="s">
        <v>111</v>
      </c>
      <c r="B35" t="s">
        <v>112</v>
      </c>
      <c r="C35">
        <v>300</v>
      </c>
      <c r="D35" t="s">
        <v>60</v>
      </c>
      <c r="E35" t="s">
        <v>65</v>
      </c>
      <c r="F35" t="s">
        <v>80</v>
      </c>
    </row>
    <row r="36" spans="1:8" x14ac:dyDescent="0.3">
      <c r="A36" t="s">
        <v>113</v>
      </c>
      <c r="B36" t="s">
        <v>114</v>
      </c>
      <c r="C36">
        <v>3</v>
      </c>
      <c r="D36">
        <v>180</v>
      </c>
      <c r="E36" t="s">
        <v>31</v>
      </c>
      <c r="F36" t="s">
        <v>61</v>
      </c>
      <c r="G36">
        <v>10</v>
      </c>
      <c r="H36" t="s">
        <v>115</v>
      </c>
    </row>
    <row r="37" spans="1:8" x14ac:dyDescent="0.3">
      <c r="A37" t="s">
        <v>116</v>
      </c>
      <c r="B37" t="s">
        <v>117</v>
      </c>
      <c r="C37">
        <v>90</v>
      </c>
      <c r="D37" t="s">
        <v>60</v>
      </c>
      <c r="E37" t="s">
        <v>65</v>
      </c>
      <c r="F37">
        <v>0</v>
      </c>
      <c r="G37" t="s">
        <v>71</v>
      </c>
    </row>
    <row r="38" spans="1:8" x14ac:dyDescent="0.3">
      <c r="A38" t="s">
        <v>118</v>
      </c>
      <c r="B38" t="s">
        <v>119</v>
      </c>
      <c r="C38">
        <v>320</v>
      </c>
      <c r="D38" t="s">
        <v>31</v>
      </c>
      <c r="E38" t="s">
        <v>70</v>
      </c>
      <c r="F38" t="s">
        <v>120</v>
      </c>
    </row>
    <row r="39" spans="1:8" x14ac:dyDescent="0.3">
      <c r="A39" t="s">
        <v>121</v>
      </c>
      <c r="B39" t="s">
        <v>122</v>
      </c>
      <c r="C39">
        <v>120</v>
      </c>
      <c r="D39" t="s">
        <v>60</v>
      </c>
      <c r="E39" t="s">
        <v>61</v>
      </c>
      <c r="F39" t="s">
        <v>123</v>
      </c>
    </row>
    <row r="40" spans="1:8" x14ac:dyDescent="0.3">
      <c r="A40" t="s">
        <v>124</v>
      </c>
      <c r="B40" t="s">
        <v>125</v>
      </c>
      <c r="C40">
        <v>1</v>
      </c>
      <c r="D40">
        <v>450</v>
      </c>
      <c r="E40" t="s">
        <v>31</v>
      </c>
      <c r="F40" t="s">
        <v>65</v>
      </c>
      <c r="G40">
        <v>15</v>
      </c>
      <c r="H40" t="s">
        <v>126</v>
      </c>
    </row>
    <row r="41" spans="1:8" x14ac:dyDescent="0.3">
      <c r="A41" t="s">
        <v>127</v>
      </c>
      <c r="B41" t="s">
        <v>128</v>
      </c>
      <c r="C41">
        <v>260</v>
      </c>
      <c r="D41" t="s">
        <v>60</v>
      </c>
      <c r="E41" t="s">
        <v>61</v>
      </c>
      <c r="F41" t="s">
        <v>80</v>
      </c>
    </row>
    <row r="42" spans="1:8" x14ac:dyDescent="0.3">
      <c r="A42" t="s">
        <v>129</v>
      </c>
      <c r="B42" t="s">
        <v>130</v>
      </c>
      <c r="C42">
        <v>300</v>
      </c>
      <c r="D42" t="s">
        <v>31</v>
      </c>
      <c r="E42" t="s">
        <v>70</v>
      </c>
      <c r="F42" t="s">
        <v>66</v>
      </c>
    </row>
    <row r="43" spans="1:8" x14ac:dyDescent="0.3">
      <c r="A43" t="s">
        <v>131</v>
      </c>
      <c r="B43" t="s">
        <v>132</v>
      </c>
      <c r="C43">
        <v>200</v>
      </c>
      <c r="D43" t="s">
        <v>60</v>
      </c>
      <c r="E43" t="s">
        <v>65</v>
      </c>
      <c r="F43" t="s">
        <v>103</v>
      </c>
    </row>
    <row r="44" spans="1:8" x14ac:dyDescent="0.3">
      <c r="A44" t="s">
        <v>133</v>
      </c>
      <c r="B44" t="s">
        <v>134</v>
      </c>
      <c r="C44">
        <v>240</v>
      </c>
      <c r="D44" t="s">
        <v>31</v>
      </c>
      <c r="E44" t="s">
        <v>65</v>
      </c>
      <c r="F44">
        <v>10</v>
      </c>
      <c r="G44" t="s">
        <v>74</v>
      </c>
    </row>
    <row r="45" spans="1:8" x14ac:dyDescent="0.3">
      <c r="A45" t="s">
        <v>135</v>
      </c>
      <c r="B45" t="s">
        <v>136</v>
      </c>
      <c r="C45">
        <v>320</v>
      </c>
      <c r="D45" t="s">
        <v>60</v>
      </c>
      <c r="E45" t="s">
        <v>61</v>
      </c>
      <c r="F45" t="s">
        <v>123</v>
      </c>
    </row>
    <row r="46" spans="1:8" x14ac:dyDescent="0.3">
      <c r="A46" t="s">
        <v>137</v>
      </c>
      <c r="B46" t="s">
        <v>138</v>
      </c>
      <c r="C46">
        <v>200</v>
      </c>
      <c r="D46" t="s">
        <v>31</v>
      </c>
      <c r="E46" t="s">
        <v>61</v>
      </c>
      <c r="F46" t="s">
        <v>62</v>
      </c>
    </row>
    <row r="47" spans="1:8" x14ac:dyDescent="0.3">
      <c r="A47" t="s">
        <v>139</v>
      </c>
      <c r="B47" t="s">
        <v>140</v>
      </c>
      <c r="C47">
        <v>250</v>
      </c>
      <c r="D47" t="s">
        <v>60</v>
      </c>
      <c r="E47" t="s">
        <v>65</v>
      </c>
      <c r="F47" t="s">
        <v>141</v>
      </c>
    </row>
    <row r="48" spans="1:8" x14ac:dyDescent="0.3">
      <c r="A48" t="s">
        <v>142</v>
      </c>
      <c r="B48" t="s">
        <v>143</v>
      </c>
      <c r="C48">
        <v>180</v>
      </c>
      <c r="D48" t="s">
        <v>31</v>
      </c>
      <c r="E48" t="s">
        <v>70</v>
      </c>
      <c r="F48" t="s">
        <v>86</v>
      </c>
    </row>
    <row r="49" spans="1:7" x14ac:dyDescent="0.3">
      <c r="A49" t="s">
        <v>144</v>
      </c>
      <c r="B49" t="s">
        <v>145</v>
      </c>
      <c r="C49">
        <v>200</v>
      </c>
      <c r="D49" t="s">
        <v>60</v>
      </c>
      <c r="E49" t="s">
        <v>65</v>
      </c>
      <c r="F49" t="s">
        <v>103</v>
      </c>
    </row>
    <row r="50" spans="1:7" x14ac:dyDescent="0.3">
      <c r="A50" t="s">
        <v>146</v>
      </c>
      <c r="B50" t="s">
        <v>76</v>
      </c>
      <c r="C50">
        <v>500</v>
      </c>
      <c r="D50" t="s">
        <v>31</v>
      </c>
      <c r="E50" t="s">
        <v>61</v>
      </c>
      <c r="F50">
        <v>15</v>
      </c>
      <c r="G50" t="s">
        <v>74</v>
      </c>
    </row>
    <row r="51" spans="1:7" x14ac:dyDescent="0.3">
      <c r="A51" t="s">
        <v>147</v>
      </c>
      <c r="B51" t="s">
        <v>148</v>
      </c>
      <c r="C51">
        <v>180</v>
      </c>
      <c r="D51" t="s">
        <v>60</v>
      </c>
      <c r="E51" t="s">
        <v>65</v>
      </c>
      <c r="F51" t="s">
        <v>123</v>
      </c>
    </row>
    <row r="52" spans="1:7" x14ac:dyDescent="0.3">
      <c r="A52" t="s">
        <v>149</v>
      </c>
      <c r="B52" t="s">
        <v>150</v>
      </c>
      <c r="C52">
        <v>450</v>
      </c>
      <c r="D52" t="s">
        <v>31</v>
      </c>
      <c r="E52" t="s">
        <v>70</v>
      </c>
      <c r="F52" t="s">
        <v>151</v>
      </c>
    </row>
    <row r="53" spans="1:7" x14ac:dyDescent="0.3">
      <c r="A53" t="s">
        <v>152</v>
      </c>
      <c r="B53" t="s">
        <v>95</v>
      </c>
      <c r="C53">
        <v>300</v>
      </c>
      <c r="D53" t="s">
        <v>60</v>
      </c>
      <c r="E53" t="s">
        <v>61</v>
      </c>
      <c r="F53" t="s">
        <v>80</v>
      </c>
    </row>
    <row r="54" spans="1:7" x14ac:dyDescent="0.3">
      <c r="A54" t="s">
        <v>153</v>
      </c>
      <c r="B54" t="s">
        <v>154</v>
      </c>
      <c r="C54">
        <v>260</v>
      </c>
      <c r="D54" t="s">
        <v>31</v>
      </c>
      <c r="E54" t="s">
        <v>65</v>
      </c>
      <c r="F54" t="s">
        <v>86</v>
      </c>
    </row>
    <row r="55" spans="1:7" x14ac:dyDescent="0.3">
      <c r="A55" t="s">
        <v>155</v>
      </c>
      <c r="B55" t="s">
        <v>156</v>
      </c>
      <c r="C55">
        <v>350</v>
      </c>
      <c r="D55" t="s">
        <v>60</v>
      </c>
      <c r="E55" t="s">
        <v>61</v>
      </c>
      <c r="F55" t="s">
        <v>157</v>
      </c>
    </row>
    <row r="56" spans="1:7" x14ac:dyDescent="0.3">
      <c r="A56" t="s">
        <v>158</v>
      </c>
      <c r="B56" t="s">
        <v>159</v>
      </c>
      <c r="C56">
        <v>420</v>
      </c>
      <c r="D56" t="s">
        <v>31</v>
      </c>
      <c r="E56" t="s">
        <v>70</v>
      </c>
      <c r="F56">
        <v>0</v>
      </c>
      <c r="G56" t="s">
        <v>74</v>
      </c>
    </row>
    <row r="57" spans="1:7" x14ac:dyDescent="0.3">
      <c r="A57" t="s">
        <v>160</v>
      </c>
      <c r="B57" t="s">
        <v>161</v>
      </c>
      <c r="C57">
        <v>500</v>
      </c>
      <c r="D57" t="s">
        <v>60</v>
      </c>
      <c r="E57" t="s">
        <v>65</v>
      </c>
      <c r="F57" t="s">
        <v>123</v>
      </c>
    </row>
    <row r="58" spans="1:7" x14ac:dyDescent="0.3">
      <c r="A58" t="s">
        <v>162</v>
      </c>
      <c r="B58" t="s">
        <v>163</v>
      </c>
      <c r="C58">
        <v>220</v>
      </c>
      <c r="D58" t="s">
        <v>31</v>
      </c>
      <c r="E58" t="s">
        <v>65</v>
      </c>
      <c r="F58" t="s">
        <v>164</v>
      </c>
    </row>
    <row r="59" spans="1:7" x14ac:dyDescent="0.3">
      <c r="A59" t="s">
        <v>165</v>
      </c>
      <c r="B59" t="s">
        <v>166</v>
      </c>
      <c r="C59">
        <v>180</v>
      </c>
      <c r="D59" t="s">
        <v>60</v>
      </c>
      <c r="E59" t="s">
        <v>70</v>
      </c>
      <c r="F59" t="s">
        <v>80</v>
      </c>
    </row>
    <row r="60" spans="1:7" x14ac:dyDescent="0.3">
      <c r="A60" t="s">
        <v>167</v>
      </c>
      <c r="B60" t="s">
        <v>168</v>
      </c>
      <c r="C60">
        <v>280</v>
      </c>
      <c r="D60" t="s">
        <v>31</v>
      </c>
      <c r="E60" t="s">
        <v>61</v>
      </c>
      <c r="F60">
        <v>0</v>
      </c>
      <c r="G60" t="s">
        <v>115</v>
      </c>
    </row>
    <row r="61" spans="1:7" x14ac:dyDescent="0.3">
      <c r="A61" t="s">
        <v>169</v>
      </c>
      <c r="B61" t="s">
        <v>76</v>
      </c>
      <c r="C61">
        <v>500</v>
      </c>
      <c r="D61" t="s">
        <v>60</v>
      </c>
      <c r="E61" t="s">
        <v>61</v>
      </c>
      <c r="F61" t="s">
        <v>170</v>
      </c>
    </row>
    <row r="62" spans="1:7" x14ac:dyDescent="0.3">
      <c r="A62" t="s">
        <v>171</v>
      </c>
      <c r="B62" t="s">
        <v>172</v>
      </c>
      <c r="C62">
        <v>160</v>
      </c>
      <c r="D62" t="s">
        <v>31</v>
      </c>
      <c r="E62" t="s">
        <v>70</v>
      </c>
      <c r="F62" t="s">
        <v>106</v>
      </c>
    </row>
    <row r="63" spans="1:7" x14ac:dyDescent="0.3">
      <c r="A63" t="s">
        <v>173</v>
      </c>
      <c r="B63" t="s">
        <v>174</v>
      </c>
      <c r="C63">
        <v>380</v>
      </c>
      <c r="D63" t="s">
        <v>60</v>
      </c>
      <c r="E63" t="s">
        <v>65</v>
      </c>
      <c r="F63" t="s">
        <v>123</v>
      </c>
    </row>
    <row r="64" spans="1:7" x14ac:dyDescent="0.3">
      <c r="A64" t="s">
        <v>175</v>
      </c>
      <c r="B64" t="s">
        <v>176</v>
      </c>
      <c r="C64">
        <v>200</v>
      </c>
      <c r="D64" t="s">
        <v>31</v>
      </c>
      <c r="E64" t="s">
        <v>65</v>
      </c>
      <c r="F64">
        <v>10</v>
      </c>
      <c r="G64" t="s">
        <v>126</v>
      </c>
    </row>
    <row r="65" spans="1:7" x14ac:dyDescent="0.3">
      <c r="A65" t="s">
        <v>177</v>
      </c>
      <c r="B65" t="s">
        <v>178</v>
      </c>
      <c r="C65">
        <v>140</v>
      </c>
      <c r="D65" t="s">
        <v>60</v>
      </c>
      <c r="E65" t="s">
        <v>61</v>
      </c>
      <c r="F65" t="s">
        <v>80</v>
      </c>
    </row>
    <row r="66" spans="1:7" x14ac:dyDescent="0.3">
      <c r="A66" t="s">
        <v>179</v>
      </c>
      <c r="B66" t="s">
        <v>90</v>
      </c>
      <c r="C66">
        <v>100</v>
      </c>
      <c r="D66" t="s">
        <v>31</v>
      </c>
      <c r="E66" t="s">
        <v>65</v>
      </c>
      <c r="F66" t="s">
        <v>86</v>
      </c>
    </row>
    <row r="67" spans="1:7" x14ac:dyDescent="0.3">
      <c r="A67" t="s">
        <v>180</v>
      </c>
      <c r="B67" t="s">
        <v>73</v>
      </c>
      <c r="C67" t="s">
        <v>31</v>
      </c>
      <c r="D67" t="s">
        <v>65</v>
      </c>
      <c r="E67" t="s">
        <v>151</v>
      </c>
    </row>
    <row r="68" spans="1:7" x14ac:dyDescent="0.3">
      <c r="A68" t="s">
        <v>181</v>
      </c>
      <c r="B68" t="s">
        <v>161</v>
      </c>
      <c r="C68">
        <v>500</v>
      </c>
      <c r="D68" t="s">
        <v>60</v>
      </c>
      <c r="E68" t="s">
        <v>61</v>
      </c>
      <c r="F68">
        <v>0</v>
      </c>
      <c r="G68" t="s">
        <v>115</v>
      </c>
    </row>
    <row r="69" spans="1:7" x14ac:dyDescent="0.3">
      <c r="A69" t="s">
        <v>182</v>
      </c>
      <c r="B69" t="s">
        <v>163</v>
      </c>
      <c r="C69">
        <v>220</v>
      </c>
      <c r="D69" t="s">
        <v>31</v>
      </c>
      <c r="E69" t="s">
        <v>70</v>
      </c>
      <c r="F69">
        <v>0</v>
      </c>
      <c r="G69" t="s">
        <v>71</v>
      </c>
    </row>
    <row r="70" spans="1:7" x14ac:dyDescent="0.3">
      <c r="A70" t="s">
        <v>183</v>
      </c>
      <c r="B70" t="s">
        <v>166</v>
      </c>
      <c r="C70">
        <v>180</v>
      </c>
      <c r="D70" t="s">
        <v>60</v>
      </c>
      <c r="E70" t="s">
        <v>65</v>
      </c>
      <c r="F70">
        <v>0</v>
      </c>
      <c r="G70" t="s">
        <v>74</v>
      </c>
    </row>
    <row r="71" spans="1:7" x14ac:dyDescent="0.3">
      <c r="A71" t="s">
        <v>184</v>
      </c>
      <c r="B71" t="s">
        <v>168</v>
      </c>
      <c r="C71">
        <v>280</v>
      </c>
      <c r="D71" t="s">
        <v>31</v>
      </c>
      <c r="E71" t="s">
        <v>61</v>
      </c>
      <c r="F71" t="s">
        <v>77</v>
      </c>
    </row>
    <row r="72" spans="1:7" x14ac:dyDescent="0.3">
      <c r="A72" t="s">
        <v>185</v>
      </c>
      <c r="B72" t="s">
        <v>76</v>
      </c>
      <c r="C72">
        <v>500</v>
      </c>
      <c r="D72" t="s">
        <v>60</v>
      </c>
      <c r="E72" t="s">
        <v>65</v>
      </c>
      <c r="F72" t="s">
        <v>80</v>
      </c>
    </row>
    <row r="73" spans="1:7" x14ac:dyDescent="0.3">
      <c r="A73" t="s">
        <v>186</v>
      </c>
      <c r="B73" t="s">
        <v>172</v>
      </c>
      <c r="C73">
        <v>160</v>
      </c>
      <c r="D73" t="s">
        <v>31</v>
      </c>
      <c r="E73" t="s">
        <v>70</v>
      </c>
      <c r="F73">
        <v>15</v>
      </c>
      <c r="G73" t="s">
        <v>126</v>
      </c>
    </row>
    <row r="74" spans="1:7" x14ac:dyDescent="0.3">
      <c r="A74" t="s">
        <v>187</v>
      </c>
      <c r="B74" t="s">
        <v>188</v>
      </c>
      <c r="C74" t="s">
        <v>60</v>
      </c>
      <c r="D74" t="s">
        <v>61</v>
      </c>
      <c r="E74" t="s">
        <v>86</v>
      </c>
    </row>
    <row r="75" spans="1:7" x14ac:dyDescent="0.3">
      <c r="A75" t="s">
        <v>189</v>
      </c>
      <c r="B75" t="s">
        <v>190</v>
      </c>
      <c r="C75" t="s">
        <v>31</v>
      </c>
      <c r="D75" t="s">
        <v>65</v>
      </c>
      <c r="E75">
        <v>0</v>
      </c>
      <c r="F75" t="s">
        <v>71</v>
      </c>
    </row>
    <row r="76" spans="1:7" x14ac:dyDescent="0.3">
      <c r="A76" t="s">
        <v>191</v>
      </c>
      <c r="B76" t="s">
        <v>178</v>
      </c>
      <c r="C76">
        <v>140</v>
      </c>
      <c r="D76" t="s">
        <v>60</v>
      </c>
      <c r="E76" t="s">
        <v>65</v>
      </c>
      <c r="F76">
        <v>20</v>
      </c>
      <c r="G76" t="s">
        <v>74</v>
      </c>
    </row>
    <row r="77" spans="1:7" x14ac:dyDescent="0.3">
      <c r="A77" t="s">
        <v>192</v>
      </c>
      <c r="B77" t="s">
        <v>90</v>
      </c>
      <c r="C77">
        <v>100</v>
      </c>
      <c r="D77" t="s">
        <v>31</v>
      </c>
      <c r="E77" t="s">
        <v>70</v>
      </c>
      <c r="F77">
        <v>0</v>
      </c>
      <c r="G77" t="s">
        <v>93</v>
      </c>
    </row>
    <row r="78" spans="1:7" x14ac:dyDescent="0.3">
      <c r="A78" t="s">
        <v>193</v>
      </c>
      <c r="B78" t="s">
        <v>92</v>
      </c>
      <c r="C78">
        <v>320</v>
      </c>
      <c r="D78" t="s">
        <v>60</v>
      </c>
      <c r="E78" t="s">
        <v>61</v>
      </c>
      <c r="F78" t="s">
        <v>62</v>
      </c>
    </row>
    <row r="79" spans="1:7" x14ac:dyDescent="0.3">
      <c r="A79" t="s">
        <v>194</v>
      </c>
      <c r="B79" t="s">
        <v>95</v>
      </c>
      <c r="C79">
        <v>350</v>
      </c>
      <c r="D79" t="s">
        <v>31</v>
      </c>
      <c r="E79" t="s">
        <v>65</v>
      </c>
      <c r="F79">
        <v>25</v>
      </c>
      <c r="G79" t="s">
        <v>195</v>
      </c>
    </row>
    <row r="80" spans="1:7" x14ac:dyDescent="0.3">
      <c r="A80" t="s">
        <v>196</v>
      </c>
      <c r="B80" t="s">
        <v>98</v>
      </c>
      <c r="C80" t="s">
        <v>60</v>
      </c>
      <c r="D80" t="s">
        <v>65</v>
      </c>
      <c r="E80" t="s">
        <v>86</v>
      </c>
    </row>
    <row r="81" spans="1:7" x14ac:dyDescent="0.3">
      <c r="A81" t="s">
        <v>197</v>
      </c>
      <c r="B81" t="s">
        <v>198</v>
      </c>
      <c r="C81">
        <v>300</v>
      </c>
      <c r="D81" t="s">
        <v>31</v>
      </c>
      <c r="E81" t="s">
        <v>61</v>
      </c>
      <c r="F81" t="s">
        <v>103</v>
      </c>
    </row>
    <row r="82" spans="1:7" x14ac:dyDescent="0.3">
      <c r="A82" t="s">
        <v>199</v>
      </c>
      <c r="B82" t="s">
        <v>102</v>
      </c>
      <c r="C82">
        <v>150</v>
      </c>
      <c r="D82" t="s">
        <v>60</v>
      </c>
      <c r="E82" t="s">
        <v>65</v>
      </c>
      <c r="F82">
        <v>10</v>
      </c>
      <c r="G82" t="s">
        <v>74</v>
      </c>
    </row>
    <row r="83" spans="1:7" x14ac:dyDescent="0.3">
      <c r="A83" t="s">
        <v>200</v>
      </c>
      <c r="B83" t="s">
        <v>201</v>
      </c>
      <c r="C83">
        <v>400</v>
      </c>
      <c r="D83" t="s">
        <v>31</v>
      </c>
      <c r="E83" t="s">
        <v>70</v>
      </c>
      <c r="F83">
        <v>0</v>
      </c>
      <c r="G83" t="s">
        <v>93</v>
      </c>
    </row>
    <row r="84" spans="1:7" x14ac:dyDescent="0.3">
      <c r="A84" t="s">
        <v>202</v>
      </c>
      <c r="B84" t="s">
        <v>108</v>
      </c>
      <c r="C84">
        <v>250</v>
      </c>
      <c r="D84" t="s">
        <v>60</v>
      </c>
      <c r="E84" t="s">
        <v>61</v>
      </c>
      <c r="F84" t="s">
        <v>62</v>
      </c>
    </row>
    <row r="85" spans="1:7" x14ac:dyDescent="0.3">
      <c r="A85" t="s">
        <v>203</v>
      </c>
      <c r="B85" t="s">
        <v>110</v>
      </c>
      <c r="C85">
        <v>150</v>
      </c>
      <c r="D85" t="s">
        <v>31</v>
      </c>
      <c r="E85" t="s">
        <v>65</v>
      </c>
      <c r="F85" t="s">
        <v>204</v>
      </c>
    </row>
    <row r="86" spans="1:7" x14ac:dyDescent="0.3">
      <c r="A86" t="s">
        <v>205</v>
      </c>
      <c r="B86" t="s">
        <v>112</v>
      </c>
      <c r="C86">
        <v>300</v>
      </c>
      <c r="D86" t="s">
        <v>60</v>
      </c>
      <c r="E86" t="s">
        <v>65</v>
      </c>
      <c r="F86">
        <v>0</v>
      </c>
      <c r="G86" t="s">
        <v>115</v>
      </c>
    </row>
    <row r="87" spans="1:7" x14ac:dyDescent="0.3">
      <c r="A87" t="s">
        <v>206</v>
      </c>
      <c r="B87" t="s">
        <v>207</v>
      </c>
      <c r="C87">
        <v>180</v>
      </c>
      <c r="D87" t="s">
        <v>31</v>
      </c>
      <c r="E87" t="s">
        <v>61</v>
      </c>
      <c r="F87" t="s">
        <v>103</v>
      </c>
    </row>
    <row r="88" spans="1:7" x14ac:dyDescent="0.3">
      <c r="A88" t="s">
        <v>208</v>
      </c>
      <c r="B88" t="s">
        <v>117</v>
      </c>
      <c r="C88">
        <v>90</v>
      </c>
      <c r="D88" t="s">
        <v>60</v>
      </c>
      <c r="E88" t="s">
        <v>65</v>
      </c>
      <c r="F88" t="s">
        <v>120</v>
      </c>
    </row>
    <row r="89" spans="1:7" x14ac:dyDescent="0.3">
      <c r="A89" t="s">
        <v>209</v>
      </c>
      <c r="B89" t="s">
        <v>119</v>
      </c>
      <c r="C89">
        <v>320</v>
      </c>
      <c r="D89" t="s">
        <v>31</v>
      </c>
      <c r="E89" t="s">
        <v>70</v>
      </c>
      <c r="F89">
        <v>0</v>
      </c>
      <c r="G89" t="s">
        <v>93</v>
      </c>
    </row>
    <row r="90" spans="1:7" x14ac:dyDescent="0.3">
      <c r="A90" t="s">
        <v>210</v>
      </c>
      <c r="B90" t="s">
        <v>122</v>
      </c>
      <c r="C90">
        <v>120</v>
      </c>
      <c r="D90" t="s">
        <v>60</v>
      </c>
      <c r="E90" t="s">
        <v>65</v>
      </c>
      <c r="F90">
        <v>0</v>
      </c>
      <c r="G90" t="s">
        <v>126</v>
      </c>
    </row>
    <row r="91" spans="1:7" x14ac:dyDescent="0.3">
      <c r="A91" t="s">
        <v>211</v>
      </c>
      <c r="B91" t="s">
        <v>212</v>
      </c>
      <c r="C91">
        <v>450</v>
      </c>
      <c r="D91" t="s">
        <v>31</v>
      </c>
      <c r="E91" t="s">
        <v>61</v>
      </c>
      <c r="F91">
        <v>10</v>
      </c>
      <c r="G91" t="s">
        <v>195</v>
      </c>
    </row>
    <row r="92" spans="1:7" x14ac:dyDescent="0.3">
      <c r="A92" t="s">
        <v>213</v>
      </c>
      <c r="B92" t="s">
        <v>128</v>
      </c>
      <c r="C92">
        <v>260</v>
      </c>
      <c r="D92" t="s">
        <v>60</v>
      </c>
      <c r="E92" t="s">
        <v>61</v>
      </c>
      <c r="F92" t="s">
        <v>86</v>
      </c>
    </row>
    <row r="93" spans="1:7" x14ac:dyDescent="0.3">
      <c r="A93" t="s">
        <v>214</v>
      </c>
      <c r="B93" t="s">
        <v>130</v>
      </c>
      <c r="C93">
        <v>300</v>
      </c>
      <c r="D93" t="s">
        <v>31</v>
      </c>
      <c r="E93" t="s">
        <v>70</v>
      </c>
      <c r="F93" t="s">
        <v>103</v>
      </c>
    </row>
    <row r="94" spans="1:7" x14ac:dyDescent="0.3">
      <c r="A94" t="s">
        <v>215</v>
      </c>
      <c r="B94" t="s">
        <v>132</v>
      </c>
      <c r="C94">
        <v>200</v>
      </c>
      <c r="D94" t="s">
        <v>60</v>
      </c>
      <c r="E94" t="s">
        <v>65</v>
      </c>
      <c r="F94">
        <v>25</v>
      </c>
      <c r="G94" t="s">
        <v>74</v>
      </c>
    </row>
    <row r="95" spans="1:7" x14ac:dyDescent="0.3">
      <c r="A95" t="s">
        <v>216</v>
      </c>
      <c r="B95" t="s">
        <v>134</v>
      </c>
      <c r="C95">
        <v>240</v>
      </c>
      <c r="D95" t="s">
        <v>31</v>
      </c>
      <c r="E95" t="s">
        <v>65</v>
      </c>
      <c r="F95">
        <v>0</v>
      </c>
      <c r="G95" t="s">
        <v>93</v>
      </c>
    </row>
    <row r="96" spans="1:7" x14ac:dyDescent="0.3">
      <c r="A96" t="s">
        <v>217</v>
      </c>
      <c r="B96" t="s">
        <v>136</v>
      </c>
      <c r="C96">
        <v>320</v>
      </c>
      <c r="D96" t="s">
        <v>60</v>
      </c>
      <c r="E96" t="s">
        <v>61</v>
      </c>
      <c r="F96" t="s">
        <v>62</v>
      </c>
    </row>
    <row r="97" spans="1:7" x14ac:dyDescent="0.3">
      <c r="A97" t="s">
        <v>218</v>
      </c>
      <c r="B97" t="s">
        <v>138</v>
      </c>
      <c r="C97">
        <v>200</v>
      </c>
      <c r="D97" t="s">
        <v>31</v>
      </c>
      <c r="E97" t="s">
        <v>65</v>
      </c>
      <c r="F97" t="s">
        <v>80</v>
      </c>
    </row>
    <row r="98" spans="1:7" x14ac:dyDescent="0.3">
      <c r="A98" t="s">
        <v>219</v>
      </c>
      <c r="B98" t="s">
        <v>140</v>
      </c>
      <c r="C98">
        <v>250</v>
      </c>
      <c r="D98" t="s">
        <v>60</v>
      </c>
      <c r="E98" t="s">
        <v>70</v>
      </c>
      <c r="F98" t="s">
        <v>220</v>
      </c>
    </row>
    <row r="99" spans="1:7" x14ac:dyDescent="0.3">
      <c r="A99" t="s">
        <v>221</v>
      </c>
      <c r="B99" t="s">
        <v>143</v>
      </c>
      <c r="C99">
        <v>180</v>
      </c>
      <c r="D99" t="s">
        <v>31</v>
      </c>
      <c r="E99" t="s">
        <v>65</v>
      </c>
      <c r="F99" t="s">
        <v>103</v>
      </c>
    </row>
    <row r="100" spans="1:7" x14ac:dyDescent="0.3">
      <c r="A100" t="s">
        <v>222</v>
      </c>
      <c r="B100" t="s">
        <v>145</v>
      </c>
      <c r="C100">
        <v>200</v>
      </c>
      <c r="D100" t="s">
        <v>60</v>
      </c>
      <c r="E100" t="s">
        <v>61</v>
      </c>
      <c r="F100">
        <v>0</v>
      </c>
      <c r="G100" t="s">
        <v>74</v>
      </c>
    </row>
    <row r="101" spans="1:7" x14ac:dyDescent="0.3">
      <c r="A101" t="s">
        <v>223</v>
      </c>
      <c r="B101" t="s">
        <v>76</v>
      </c>
      <c r="C101">
        <v>500</v>
      </c>
      <c r="D101" t="s">
        <v>31</v>
      </c>
      <c r="E101" t="s">
        <v>65</v>
      </c>
      <c r="F101">
        <v>30</v>
      </c>
      <c r="G101" t="s">
        <v>93</v>
      </c>
    </row>
    <row r="102" spans="1:7" x14ac:dyDescent="0.3">
      <c r="A102" t="s">
        <v>224</v>
      </c>
      <c r="B102" t="s">
        <v>148</v>
      </c>
      <c r="C102">
        <v>180</v>
      </c>
      <c r="D102" t="s">
        <v>60</v>
      </c>
      <c r="E102" t="s">
        <v>65</v>
      </c>
      <c r="F102" t="s">
        <v>62</v>
      </c>
    </row>
    <row r="103" spans="1:7" x14ac:dyDescent="0.3">
      <c r="A103" t="s">
        <v>225</v>
      </c>
      <c r="B103" t="s">
        <v>150</v>
      </c>
      <c r="C103">
        <v>450</v>
      </c>
      <c r="D103" t="s">
        <v>31</v>
      </c>
      <c r="E103" t="s">
        <v>70</v>
      </c>
      <c r="F103" t="s">
        <v>80</v>
      </c>
    </row>
    <row r="104" spans="1:7" x14ac:dyDescent="0.3">
      <c r="A104" t="s">
        <v>226</v>
      </c>
      <c r="B104" t="s">
        <v>95</v>
      </c>
      <c r="C104">
        <v>300</v>
      </c>
      <c r="D104" t="s">
        <v>60</v>
      </c>
      <c r="E104" t="s">
        <v>61</v>
      </c>
      <c r="F104">
        <v>10</v>
      </c>
      <c r="G104" t="s">
        <v>115</v>
      </c>
    </row>
    <row r="105" spans="1:7" x14ac:dyDescent="0.3">
      <c r="A105" t="s">
        <v>227</v>
      </c>
      <c r="B105" t="s">
        <v>154</v>
      </c>
      <c r="C105">
        <v>260</v>
      </c>
      <c r="D105" t="s">
        <v>31</v>
      </c>
      <c r="E105" t="s">
        <v>61</v>
      </c>
      <c r="F105" t="s">
        <v>103</v>
      </c>
    </row>
    <row r="106" spans="1:7" x14ac:dyDescent="0.3">
      <c r="A106" t="s">
        <v>228</v>
      </c>
      <c r="B106" t="s">
        <v>156</v>
      </c>
      <c r="C106">
        <v>350</v>
      </c>
      <c r="D106" t="s">
        <v>60</v>
      </c>
      <c r="E106" t="s">
        <v>65</v>
      </c>
      <c r="F106" t="s">
        <v>106</v>
      </c>
    </row>
    <row r="107" spans="1:7" x14ac:dyDescent="0.3">
      <c r="A107" t="s">
        <v>229</v>
      </c>
      <c r="B107" t="s">
        <v>159</v>
      </c>
      <c r="C107">
        <v>420</v>
      </c>
      <c r="D107" t="s">
        <v>31</v>
      </c>
      <c r="E107" t="s">
        <v>70</v>
      </c>
      <c r="F107" t="s">
        <v>230</v>
      </c>
    </row>
    <row r="108" spans="1:7" x14ac:dyDescent="0.3">
      <c r="A108" t="s">
        <v>231</v>
      </c>
      <c r="B108" t="s">
        <v>161</v>
      </c>
      <c r="C108">
        <v>500</v>
      </c>
      <c r="D108" t="s">
        <v>60</v>
      </c>
      <c r="E108" t="s">
        <v>61</v>
      </c>
      <c r="F108" t="s">
        <v>62</v>
      </c>
    </row>
    <row r="109" spans="1:7" x14ac:dyDescent="0.3">
      <c r="A109" t="s">
        <v>232</v>
      </c>
      <c r="B109" t="s">
        <v>163</v>
      </c>
      <c r="C109">
        <v>220</v>
      </c>
      <c r="D109" t="s">
        <v>31</v>
      </c>
      <c r="E109" t="s">
        <v>65</v>
      </c>
      <c r="F109" t="s">
        <v>80</v>
      </c>
    </row>
    <row r="110" spans="1:7" x14ac:dyDescent="0.3">
      <c r="A110" t="s">
        <v>233</v>
      </c>
      <c r="B110" t="s">
        <v>166</v>
      </c>
      <c r="C110">
        <v>180</v>
      </c>
      <c r="D110" t="s">
        <v>60</v>
      </c>
      <c r="E110" t="s">
        <v>70</v>
      </c>
      <c r="F110">
        <v>15</v>
      </c>
      <c r="G110" t="s">
        <v>115</v>
      </c>
    </row>
    <row r="111" spans="1:7" x14ac:dyDescent="0.3">
      <c r="A111" t="s">
        <v>234</v>
      </c>
      <c r="B111" t="s">
        <v>168</v>
      </c>
      <c r="C111">
        <v>280</v>
      </c>
      <c r="D111" t="s">
        <v>31</v>
      </c>
      <c r="E111" t="s">
        <v>61</v>
      </c>
      <c r="F111" t="s">
        <v>103</v>
      </c>
    </row>
    <row r="112" spans="1:7" x14ac:dyDescent="0.3">
      <c r="A112" t="s">
        <v>235</v>
      </c>
      <c r="B112" t="s">
        <v>76</v>
      </c>
      <c r="C112">
        <v>500</v>
      </c>
      <c r="D112" t="s">
        <v>60</v>
      </c>
      <c r="E112" t="s">
        <v>65</v>
      </c>
      <c r="F112" t="s">
        <v>106</v>
      </c>
    </row>
    <row r="113" spans="1:13" x14ac:dyDescent="0.3">
      <c r="A113" t="s">
        <v>236</v>
      </c>
      <c r="B113" t="s">
        <v>172</v>
      </c>
      <c r="C113">
        <v>160</v>
      </c>
      <c r="D113" t="s">
        <v>31</v>
      </c>
      <c r="E113" t="s">
        <v>70</v>
      </c>
      <c r="F113" t="s">
        <v>123</v>
      </c>
    </row>
    <row r="114" spans="1:13" x14ac:dyDescent="0.3">
      <c r="A114" t="s">
        <v>237</v>
      </c>
      <c r="B114" t="s">
        <v>174</v>
      </c>
      <c r="C114">
        <v>380</v>
      </c>
      <c r="D114" t="s">
        <v>60</v>
      </c>
      <c r="E114" t="s">
        <v>65</v>
      </c>
      <c r="F114">
        <v>10</v>
      </c>
      <c r="G114" t="s">
        <v>126</v>
      </c>
    </row>
    <row r="115" spans="1:13" x14ac:dyDescent="0.3">
      <c r="A115" t="s">
        <v>238</v>
      </c>
      <c r="B115" t="s">
        <v>176</v>
      </c>
      <c r="C115">
        <v>200</v>
      </c>
      <c r="D115" t="s">
        <v>31</v>
      </c>
      <c r="E115" t="s">
        <v>61</v>
      </c>
      <c r="F115" t="s">
        <v>80</v>
      </c>
    </row>
    <row r="116" spans="1:13" x14ac:dyDescent="0.3">
      <c r="A116" t="s">
        <v>239</v>
      </c>
      <c r="B116" t="s">
        <v>178</v>
      </c>
      <c r="C116">
        <v>140</v>
      </c>
      <c r="D116" t="s">
        <v>60</v>
      </c>
      <c r="E116" t="s">
        <v>65</v>
      </c>
      <c r="F116" t="s">
        <v>86</v>
      </c>
    </row>
    <row r="117" spans="1:13" x14ac:dyDescent="0.3">
      <c r="A117" t="s">
        <v>240</v>
      </c>
      <c r="B117" t="s">
        <v>52</v>
      </c>
      <c r="C117" t="s">
        <v>53</v>
      </c>
    </row>
    <row r="118" spans="1:13" x14ac:dyDescent="0.3">
      <c r="A118" t="s">
        <v>240</v>
      </c>
      <c r="B118" t="s">
        <v>55</v>
      </c>
      <c r="C118" t="s">
        <v>56</v>
      </c>
      <c r="D118">
        <v>30</v>
      </c>
      <c r="E118" t="s">
        <v>57</v>
      </c>
      <c r="M118" s="1"/>
    </row>
    <row r="119" spans="1:13" x14ac:dyDescent="0.3">
      <c r="A119" t="s">
        <v>240</v>
      </c>
      <c r="B119" t="s">
        <v>59</v>
      </c>
      <c r="C119" t="s">
        <v>60</v>
      </c>
      <c r="D119" t="s">
        <v>61</v>
      </c>
      <c r="E119" t="s">
        <v>62</v>
      </c>
    </row>
    <row r="120" spans="1:13" x14ac:dyDescent="0.3">
      <c r="A120" t="s">
        <v>240</v>
      </c>
      <c r="B120" t="s">
        <v>64</v>
      </c>
      <c r="C120" t="s">
        <v>31</v>
      </c>
      <c r="D120" t="s">
        <v>65</v>
      </c>
      <c r="E120" t="s">
        <v>66</v>
      </c>
    </row>
    <row r="121" spans="1:13" x14ac:dyDescent="0.3">
      <c r="A121" t="s">
        <v>240</v>
      </c>
      <c r="B121" t="s">
        <v>68</v>
      </c>
      <c r="C121" t="s">
        <v>69</v>
      </c>
      <c r="D121" t="s">
        <v>60</v>
      </c>
      <c r="E121" t="s">
        <v>70</v>
      </c>
      <c r="F121">
        <v>0</v>
      </c>
      <c r="G121" t="s">
        <v>71</v>
      </c>
    </row>
    <row r="122" spans="1:13" x14ac:dyDescent="0.3">
      <c r="A122" t="s">
        <v>240</v>
      </c>
      <c r="B122" t="s">
        <v>73</v>
      </c>
      <c r="C122" t="s">
        <v>31</v>
      </c>
      <c r="D122" t="s">
        <v>65</v>
      </c>
      <c r="E122">
        <v>0</v>
      </c>
      <c r="F122" t="s">
        <v>74</v>
      </c>
      <c r="M122" s="1"/>
    </row>
    <row r="123" spans="1:13" x14ac:dyDescent="0.3">
      <c r="A123" t="s">
        <v>240</v>
      </c>
      <c r="B123" t="s">
        <v>76</v>
      </c>
      <c r="C123">
        <v>500</v>
      </c>
      <c r="D123" t="s">
        <v>60</v>
      </c>
      <c r="E123" t="s">
        <v>61</v>
      </c>
      <c r="F123" t="s">
        <v>77</v>
      </c>
    </row>
    <row r="124" spans="1:13" x14ac:dyDescent="0.3">
      <c r="A124" t="s">
        <v>240</v>
      </c>
      <c r="B124" t="s">
        <v>79</v>
      </c>
      <c r="C124">
        <v>1</v>
      </c>
      <c r="D124">
        <v>160</v>
      </c>
      <c r="E124" t="s">
        <v>31</v>
      </c>
      <c r="F124" t="s">
        <v>70</v>
      </c>
      <c r="G124" t="s">
        <v>80</v>
      </c>
    </row>
    <row r="125" spans="1:13" x14ac:dyDescent="0.3">
      <c r="A125" t="s">
        <v>240</v>
      </c>
      <c r="B125" t="s">
        <v>82</v>
      </c>
      <c r="C125" t="s">
        <v>60</v>
      </c>
      <c r="D125" t="s">
        <v>65</v>
      </c>
      <c r="E125" t="s">
        <v>83</v>
      </c>
    </row>
    <row r="126" spans="1:13" x14ac:dyDescent="0.3">
      <c r="A126" t="s">
        <v>240</v>
      </c>
      <c r="B126" t="s">
        <v>85</v>
      </c>
      <c r="C126" t="s">
        <v>31</v>
      </c>
      <c r="D126" t="s">
        <v>61</v>
      </c>
      <c r="E126" t="s">
        <v>86</v>
      </c>
      <c r="M126" s="1"/>
    </row>
    <row r="127" spans="1:13" x14ac:dyDescent="0.3">
      <c r="A127" t="s">
        <v>240</v>
      </c>
      <c r="B127" t="s">
        <v>88</v>
      </c>
      <c r="C127" t="s">
        <v>60</v>
      </c>
      <c r="D127" t="s">
        <v>65</v>
      </c>
      <c r="E127">
        <v>0</v>
      </c>
      <c r="F127" t="s">
        <v>71</v>
      </c>
    </row>
    <row r="128" spans="1:13" x14ac:dyDescent="0.3">
      <c r="A128" t="s">
        <v>240</v>
      </c>
      <c r="B128" t="s">
        <v>90</v>
      </c>
      <c r="C128">
        <v>100</v>
      </c>
      <c r="D128" t="s">
        <v>31</v>
      </c>
      <c r="E128" t="s">
        <v>70</v>
      </c>
      <c r="F128">
        <v>10</v>
      </c>
      <c r="G128" t="s">
        <v>74</v>
      </c>
      <c r="M128" s="1"/>
    </row>
    <row r="129" spans="1:13" x14ac:dyDescent="0.3">
      <c r="A129" t="s">
        <v>240</v>
      </c>
      <c r="B129" t="s">
        <v>92</v>
      </c>
      <c r="C129">
        <v>320</v>
      </c>
      <c r="D129" t="s">
        <v>60</v>
      </c>
      <c r="E129" t="s">
        <v>65</v>
      </c>
      <c r="F129">
        <v>0</v>
      </c>
      <c r="G129" t="s">
        <v>93</v>
      </c>
    </row>
    <row r="130" spans="1:13" x14ac:dyDescent="0.3">
      <c r="A130" t="s">
        <v>240</v>
      </c>
      <c r="B130" t="s">
        <v>95</v>
      </c>
      <c r="C130">
        <v>350</v>
      </c>
      <c r="D130" t="s">
        <v>31</v>
      </c>
      <c r="E130" t="s">
        <v>61</v>
      </c>
      <c r="F130" t="s">
        <v>96</v>
      </c>
    </row>
    <row r="131" spans="1:13" x14ac:dyDescent="0.3">
      <c r="A131" t="s">
        <v>240</v>
      </c>
      <c r="B131" t="s">
        <v>98</v>
      </c>
      <c r="C131" t="s">
        <v>60</v>
      </c>
      <c r="D131" t="s">
        <v>70</v>
      </c>
      <c r="E131" t="s">
        <v>80</v>
      </c>
    </row>
    <row r="132" spans="1:13" x14ac:dyDescent="0.3">
      <c r="A132" t="s">
        <v>240</v>
      </c>
      <c r="B132" t="s">
        <v>100</v>
      </c>
      <c r="C132" t="s">
        <v>31</v>
      </c>
      <c r="D132" t="s">
        <v>65</v>
      </c>
      <c r="E132" t="s">
        <v>66</v>
      </c>
      <c r="M132" s="1"/>
    </row>
    <row r="133" spans="1:13" x14ac:dyDescent="0.3">
      <c r="A133" t="s">
        <v>240</v>
      </c>
      <c r="B133" t="s">
        <v>102</v>
      </c>
      <c r="C133">
        <v>150</v>
      </c>
      <c r="D133" t="s">
        <v>60</v>
      </c>
      <c r="E133" t="s">
        <v>61</v>
      </c>
      <c r="F133" t="s">
        <v>103</v>
      </c>
    </row>
    <row r="134" spans="1:13" x14ac:dyDescent="0.3">
      <c r="A134" t="s">
        <v>240</v>
      </c>
      <c r="B134" t="s">
        <v>105</v>
      </c>
      <c r="C134" t="s">
        <v>31</v>
      </c>
      <c r="D134" t="s">
        <v>65</v>
      </c>
      <c r="E134" t="s">
        <v>106</v>
      </c>
    </row>
    <row r="135" spans="1:13" x14ac:dyDescent="0.3">
      <c r="A135" t="s">
        <v>240</v>
      </c>
      <c r="B135" t="s">
        <v>108</v>
      </c>
      <c r="C135">
        <v>250</v>
      </c>
      <c r="D135" t="s">
        <v>60</v>
      </c>
      <c r="E135" t="s">
        <v>61</v>
      </c>
      <c r="F135">
        <v>30</v>
      </c>
      <c r="G135" t="s">
        <v>93</v>
      </c>
    </row>
    <row r="136" spans="1:13" x14ac:dyDescent="0.3">
      <c r="A136" t="s">
        <v>240</v>
      </c>
      <c r="B136" t="s">
        <v>110</v>
      </c>
      <c r="C136">
        <v>150</v>
      </c>
      <c r="D136" t="s">
        <v>31</v>
      </c>
      <c r="E136" t="s">
        <v>70</v>
      </c>
      <c r="F136" t="s">
        <v>62</v>
      </c>
    </row>
    <row r="137" spans="1:13" x14ac:dyDescent="0.3">
      <c r="A137" t="s">
        <v>240</v>
      </c>
      <c r="B137" t="s">
        <v>112</v>
      </c>
      <c r="C137">
        <v>300</v>
      </c>
      <c r="D137" t="s">
        <v>60</v>
      </c>
      <c r="E137" t="s">
        <v>65</v>
      </c>
      <c r="F137" t="s">
        <v>80</v>
      </c>
    </row>
    <row r="138" spans="1:13" x14ac:dyDescent="0.3">
      <c r="A138" t="s">
        <v>240</v>
      </c>
      <c r="B138" t="s">
        <v>114</v>
      </c>
      <c r="C138">
        <v>3</v>
      </c>
      <c r="D138">
        <v>180</v>
      </c>
      <c r="E138" t="s">
        <v>31</v>
      </c>
      <c r="F138" t="s">
        <v>61</v>
      </c>
      <c r="G138">
        <v>10</v>
      </c>
      <c r="H138" t="s">
        <v>115</v>
      </c>
      <c r="M138" s="1"/>
    </row>
    <row r="139" spans="1:13" x14ac:dyDescent="0.3">
      <c r="A139" t="s">
        <v>240</v>
      </c>
      <c r="B139" t="s">
        <v>117</v>
      </c>
      <c r="C139">
        <v>90</v>
      </c>
      <c r="D139" t="s">
        <v>60</v>
      </c>
      <c r="E139" t="s">
        <v>65</v>
      </c>
      <c r="F139">
        <v>0</v>
      </c>
      <c r="G139" t="s">
        <v>71</v>
      </c>
    </row>
    <row r="140" spans="1:13" x14ac:dyDescent="0.3">
      <c r="A140" t="s">
        <v>240</v>
      </c>
      <c r="B140" t="s">
        <v>119</v>
      </c>
      <c r="C140">
        <v>320</v>
      </c>
      <c r="D140" t="s">
        <v>31</v>
      </c>
      <c r="E140" t="s">
        <v>70</v>
      </c>
      <c r="F140" t="s">
        <v>120</v>
      </c>
    </row>
    <row r="141" spans="1:13" x14ac:dyDescent="0.3">
      <c r="A141" t="s">
        <v>240</v>
      </c>
      <c r="B141" t="s">
        <v>122</v>
      </c>
      <c r="C141">
        <v>120</v>
      </c>
      <c r="D141" t="s">
        <v>60</v>
      </c>
      <c r="E141" t="s">
        <v>61</v>
      </c>
      <c r="F141" t="s">
        <v>123</v>
      </c>
    </row>
    <row r="142" spans="1:13" x14ac:dyDescent="0.3">
      <c r="A142" t="s">
        <v>240</v>
      </c>
      <c r="B142" t="s">
        <v>125</v>
      </c>
      <c r="C142">
        <v>1</v>
      </c>
      <c r="D142">
        <v>450</v>
      </c>
      <c r="E142" t="s">
        <v>31</v>
      </c>
      <c r="F142" t="s">
        <v>65</v>
      </c>
      <c r="G142">
        <v>15</v>
      </c>
      <c r="H142" t="s">
        <v>126</v>
      </c>
      <c r="M142" s="1"/>
    </row>
    <row r="143" spans="1:13" x14ac:dyDescent="0.3">
      <c r="A143" t="s">
        <v>240</v>
      </c>
      <c r="B143" t="s">
        <v>128</v>
      </c>
      <c r="C143">
        <v>260</v>
      </c>
      <c r="D143" t="s">
        <v>60</v>
      </c>
      <c r="E143" t="s">
        <v>61</v>
      </c>
      <c r="F143" t="s">
        <v>80</v>
      </c>
    </row>
    <row r="144" spans="1:13" x14ac:dyDescent="0.3">
      <c r="A144" t="s">
        <v>240</v>
      </c>
      <c r="B144" t="s">
        <v>130</v>
      </c>
      <c r="C144">
        <v>300</v>
      </c>
      <c r="D144" t="s">
        <v>31</v>
      </c>
      <c r="E144" t="s">
        <v>70</v>
      </c>
      <c r="F144" t="s">
        <v>66</v>
      </c>
    </row>
    <row r="145" spans="1:13" x14ac:dyDescent="0.3">
      <c r="A145" t="s">
        <v>240</v>
      </c>
      <c r="B145" t="s">
        <v>132</v>
      </c>
      <c r="C145">
        <v>200</v>
      </c>
      <c r="D145" t="s">
        <v>60</v>
      </c>
      <c r="E145" t="s">
        <v>65</v>
      </c>
      <c r="F145" t="s">
        <v>103</v>
      </c>
    </row>
    <row r="146" spans="1:13" x14ac:dyDescent="0.3">
      <c r="A146" t="s">
        <v>240</v>
      </c>
      <c r="B146" t="s">
        <v>134</v>
      </c>
      <c r="C146">
        <v>240</v>
      </c>
      <c r="D146" t="s">
        <v>31</v>
      </c>
      <c r="E146" t="s">
        <v>65</v>
      </c>
      <c r="F146">
        <v>10</v>
      </c>
      <c r="G146" t="s">
        <v>74</v>
      </c>
      <c r="M146" s="1"/>
    </row>
    <row r="147" spans="1:13" x14ac:dyDescent="0.3">
      <c r="A147" t="s">
        <v>240</v>
      </c>
      <c r="B147" t="s">
        <v>136</v>
      </c>
      <c r="C147">
        <v>320</v>
      </c>
      <c r="D147" t="s">
        <v>60</v>
      </c>
      <c r="E147" t="s">
        <v>61</v>
      </c>
      <c r="F147" t="s">
        <v>123</v>
      </c>
    </row>
    <row r="148" spans="1:13" x14ac:dyDescent="0.3">
      <c r="A148" t="s">
        <v>240</v>
      </c>
      <c r="B148" t="s">
        <v>138</v>
      </c>
      <c r="C148">
        <v>200</v>
      </c>
      <c r="D148" t="s">
        <v>31</v>
      </c>
      <c r="E148" t="s">
        <v>61</v>
      </c>
      <c r="F148" t="s">
        <v>62</v>
      </c>
    </row>
    <row r="149" spans="1:13" x14ac:dyDescent="0.3">
      <c r="A149" t="s">
        <v>240</v>
      </c>
      <c r="B149" t="s">
        <v>140</v>
      </c>
      <c r="C149">
        <v>250</v>
      </c>
      <c r="D149" t="s">
        <v>60</v>
      </c>
      <c r="E149" t="s">
        <v>65</v>
      </c>
      <c r="F149" t="s">
        <v>141</v>
      </c>
    </row>
    <row r="150" spans="1:13" x14ac:dyDescent="0.3">
      <c r="A150" t="s">
        <v>240</v>
      </c>
      <c r="B150" t="s">
        <v>143</v>
      </c>
      <c r="C150">
        <v>180</v>
      </c>
      <c r="D150" t="s">
        <v>31</v>
      </c>
      <c r="E150" t="s">
        <v>70</v>
      </c>
      <c r="F150" t="s">
        <v>86</v>
      </c>
    </row>
    <row r="151" spans="1:13" x14ac:dyDescent="0.3">
      <c r="A151" t="s">
        <v>240</v>
      </c>
      <c r="B151" t="s">
        <v>145</v>
      </c>
      <c r="C151">
        <v>200</v>
      </c>
      <c r="D151" t="s">
        <v>60</v>
      </c>
      <c r="E151" t="s">
        <v>65</v>
      </c>
      <c r="F151" t="s">
        <v>103</v>
      </c>
    </row>
    <row r="152" spans="1:13" x14ac:dyDescent="0.3">
      <c r="A152" t="s">
        <v>240</v>
      </c>
      <c r="B152" t="s">
        <v>76</v>
      </c>
      <c r="C152">
        <v>500</v>
      </c>
      <c r="D152" t="s">
        <v>31</v>
      </c>
      <c r="E152" t="s">
        <v>61</v>
      </c>
      <c r="F152">
        <v>15</v>
      </c>
      <c r="G152" t="s">
        <v>74</v>
      </c>
      <c r="M152" s="1"/>
    </row>
    <row r="153" spans="1:13" x14ac:dyDescent="0.3">
      <c r="A153" t="s">
        <v>240</v>
      </c>
      <c r="B153" t="s">
        <v>148</v>
      </c>
      <c r="C153">
        <v>180</v>
      </c>
      <c r="D153" t="s">
        <v>60</v>
      </c>
      <c r="E153" t="s">
        <v>65</v>
      </c>
      <c r="F153" t="s">
        <v>123</v>
      </c>
    </row>
    <row r="154" spans="1:13" x14ac:dyDescent="0.3">
      <c r="A154" t="s">
        <v>240</v>
      </c>
      <c r="B154" t="s">
        <v>150</v>
      </c>
      <c r="C154">
        <v>450</v>
      </c>
      <c r="D154" t="s">
        <v>31</v>
      </c>
      <c r="E154" t="s">
        <v>70</v>
      </c>
      <c r="F154" t="s">
        <v>151</v>
      </c>
    </row>
    <row r="155" spans="1:13" x14ac:dyDescent="0.3">
      <c r="A155" t="s">
        <v>240</v>
      </c>
      <c r="B155" t="s">
        <v>95</v>
      </c>
      <c r="C155">
        <v>300</v>
      </c>
      <c r="D155" t="s">
        <v>60</v>
      </c>
      <c r="E155" t="s">
        <v>61</v>
      </c>
      <c r="F155" t="s">
        <v>80</v>
      </c>
    </row>
    <row r="156" spans="1:13" x14ac:dyDescent="0.3">
      <c r="A156" t="s">
        <v>240</v>
      </c>
      <c r="B156" t="s">
        <v>154</v>
      </c>
      <c r="C156">
        <v>260</v>
      </c>
      <c r="D156" t="s">
        <v>31</v>
      </c>
      <c r="E156" t="s">
        <v>65</v>
      </c>
      <c r="F156" t="s">
        <v>86</v>
      </c>
    </row>
    <row r="157" spans="1:13" x14ac:dyDescent="0.3">
      <c r="A157" t="s">
        <v>240</v>
      </c>
      <c r="B157" t="s">
        <v>156</v>
      </c>
      <c r="C157">
        <v>350</v>
      </c>
      <c r="D157" t="s">
        <v>60</v>
      </c>
      <c r="E157" t="s">
        <v>61</v>
      </c>
      <c r="F157" t="s">
        <v>157</v>
      </c>
    </row>
    <row r="158" spans="1:13" x14ac:dyDescent="0.3">
      <c r="A158" t="s">
        <v>240</v>
      </c>
      <c r="B158" t="s">
        <v>46</v>
      </c>
    </row>
    <row r="159" spans="1:13" x14ac:dyDescent="0.3">
      <c r="A159" t="s">
        <v>240</v>
      </c>
      <c r="B159" t="s">
        <v>48</v>
      </c>
    </row>
    <row r="160" spans="1:13" x14ac:dyDescent="0.3">
      <c r="A160" t="s">
        <v>240</v>
      </c>
      <c r="B160" t="s">
        <v>50</v>
      </c>
    </row>
    <row r="161" spans="1:13" x14ac:dyDescent="0.3">
      <c r="A161" t="s">
        <v>240</v>
      </c>
      <c r="B161" t="s">
        <v>52</v>
      </c>
      <c r="C161" t="s">
        <v>53</v>
      </c>
    </row>
    <row r="162" spans="1:13" x14ac:dyDescent="0.3">
      <c r="A162" t="s">
        <v>240</v>
      </c>
      <c r="B162" t="s">
        <v>55</v>
      </c>
      <c r="C162" t="s">
        <v>56</v>
      </c>
      <c r="D162">
        <v>30</v>
      </c>
      <c r="E162" t="s">
        <v>57</v>
      </c>
      <c r="M162" s="1"/>
    </row>
    <row r="163" spans="1:13" x14ac:dyDescent="0.3">
      <c r="A163" t="s">
        <v>240</v>
      </c>
      <c r="B163" t="s">
        <v>59</v>
      </c>
      <c r="C163" t="s">
        <v>60</v>
      </c>
      <c r="D163" t="s">
        <v>61</v>
      </c>
      <c r="E163" t="s">
        <v>62</v>
      </c>
    </row>
    <row r="164" spans="1:13" x14ac:dyDescent="0.3">
      <c r="A164" t="s">
        <v>240</v>
      </c>
      <c r="B164" t="s">
        <v>64</v>
      </c>
      <c r="C164" t="s">
        <v>31</v>
      </c>
      <c r="D164" t="s">
        <v>65</v>
      </c>
      <c r="E164" t="s">
        <v>66</v>
      </c>
    </row>
    <row r="165" spans="1:13" x14ac:dyDescent="0.3">
      <c r="A165" t="s">
        <v>240</v>
      </c>
      <c r="B165" t="s">
        <v>68</v>
      </c>
      <c r="C165" t="s">
        <v>69</v>
      </c>
      <c r="D165" t="s">
        <v>60</v>
      </c>
      <c r="E165" t="s">
        <v>70</v>
      </c>
      <c r="F165">
        <v>0</v>
      </c>
      <c r="G165" t="s">
        <v>71</v>
      </c>
    </row>
    <row r="166" spans="1:13" x14ac:dyDescent="0.3">
      <c r="A166" t="s">
        <v>240</v>
      </c>
      <c r="B166" t="s">
        <v>73</v>
      </c>
      <c r="C166" t="s">
        <v>31</v>
      </c>
      <c r="D166" t="s">
        <v>65</v>
      </c>
      <c r="E166">
        <v>0</v>
      </c>
      <c r="F166" t="s">
        <v>74</v>
      </c>
      <c r="M166" s="1"/>
    </row>
    <row r="167" spans="1:13" x14ac:dyDescent="0.3">
      <c r="A167" t="s">
        <v>240</v>
      </c>
      <c r="B167" t="s">
        <v>76</v>
      </c>
      <c r="C167">
        <v>500</v>
      </c>
      <c r="D167" t="s">
        <v>60</v>
      </c>
      <c r="E167" t="s">
        <v>61</v>
      </c>
      <c r="F167" t="s">
        <v>77</v>
      </c>
    </row>
    <row r="168" spans="1:13" x14ac:dyDescent="0.3">
      <c r="A168" t="s">
        <v>240</v>
      </c>
      <c r="B168" t="s">
        <v>79</v>
      </c>
      <c r="C168">
        <v>1</v>
      </c>
      <c r="D168">
        <v>160</v>
      </c>
      <c r="E168" t="s">
        <v>31</v>
      </c>
      <c r="F168" t="s">
        <v>70</v>
      </c>
      <c r="G168" t="s">
        <v>80</v>
      </c>
    </row>
    <row r="169" spans="1:13" x14ac:dyDescent="0.3">
      <c r="A169" t="s">
        <v>240</v>
      </c>
      <c r="B169" t="s">
        <v>82</v>
      </c>
      <c r="C169" t="s">
        <v>60</v>
      </c>
      <c r="D169" t="s">
        <v>65</v>
      </c>
      <c r="E169" t="s">
        <v>83</v>
      </c>
    </row>
    <row r="170" spans="1:13" x14ac:dyDescent="0.3">
      <c r="A170" t="s">
        <v>240</v>
      </c>
      <c r="B170" t="s">
        <v>85</v>
      </c>
      <c r="C170" t="s">
        <v>31</v>
      </c>
      <c r="D170" t="s">
        <v>61</v>
      </c>
      <c r="E170" t="s">
        <v>86</v>
      </c>
      <c r="M170" s="1"/>
    </row>
    <row r="171" spans="1:13" x14ac:dyDescent="0.3">
      <c r="A171" t="s">
        <v>240</v>
      </c>
      <c r="B171" t="s">
        <v>88</v>
      </c>
      <c r="C171" t="s">
        <v>60</v>
      </c>
      <c r="D171" t="s">
        <v>65</v>
      </c>
      <c r="E171">
        <v>0</v>
      </c>
      <c r="F171" t="s">
        <v>71</v>
      </c>
    </row>
    <row r="172" spans="1:13" x14ac:dyDescent="0.3">
      <c r="A172" t="s">
        <v>240</v>
      </c>
      <c r="B172" t="s">
        <v>90</v>
      </c>
      <c r="C172">
        <v>100</v>
      </c>
      <c r="D172" t="s">
        <v>31</v>
      </c>
      <c r="E172" t="s">
        <v>70</v>
      </c>
      <c r="F172">
        <v>10</v>
      </c>
      <c r="G172" t="s">
        <v>74</v>
      </c>
      <c r="M172" s="1"/>
    </row>
    <row r="173" spans="1:13" x14ac:dyDescent="0.3">
      <c r="A173" t="s">
        <v>240</v>
      </c>
      <c r="B173" t="s">
        <v>92</v>
      </c>
      <c r="C173">
        <v>320</v>
      </c>
      <c r="D173" t="s">
        <v>60</v>
      </c>
      <c r="E173" t="s">
        <v>65</v>
      </c>
      <c r="F173">
        <v>0</v>
      </c>
      <c r="G173" t="s">
        <v>93</v>
      </c>
    </row>
    <row r="174" spans="1:13" x14ac:dyDescent="0.3">
      <c r="A174" t="s">
        <v>240</v>
      </c>
      <c r="B174" t="s">
        <v>95</v>
      </c>
      <c r="C174">
        <v>350</v>
      </c>
      <c r="D174" t="s">
        <v>31</v>
      </c>
      <c r="E174" t="s">
        <v>61</v>
      </c>
      <c r="F174" t="s">
        <v>96</v>
      </c>
    </row>
    <row r="175" spans="1:13" x14ac:dyDescent="0.3">
      <c r="A175" t="s">
        <v>240</v>
      </c>
      <c r="B175" t="s">
        <v>98</v>
      </c>
      <c r="C175" t="s">
        <v>60</v>
      </c>
      <c r="D175" t="s">
        <v>70</v>
      </c>
      <c r="E175" t="s">
        <v>80</v>
      </c>
    </row>
    <row r="176" spans="1:13" x14ac:dyDescent="0.3">
      <c r="A176" t="s">
        <v>240</v>
      </c>
      <c r="B176" t="s">
        <v>100</v>
      </c>
      <c r="C176" t="s">
        <v>31</v>
      </c>
      <c r="D176" t="s">
        <v>65</v>
      </c>
      <c r="E176" t="s">
        <v>66</v>
      </c>
      <c r="M176" s="1"/>
    </row>
    <row r="177" spans="1:13" x14ac:dyDescent="0.3">
      <c r="A177" t="s">
        <v>240</v>
      </c>
      <c r="B177" t="s">
        <v>102</v>
      </c>
      <c r="C177">
        <v>150</v>
      </c>
      <c r="D177" t="s">
        <v>60</v>
      </c>
      <c r="E177" t="s">
        <v>61</v>
      </c>
      <c r="F177" t="s">
        <v>103</v>
      </c>
    </row>
    <row r="178" spans="1:13" x14ac:dyDescent="0.3">
      <c r="A178" t="s">
        <v>240</v>
      </c>
      <c r="B178" t="s">
        <v>105</v>
      </c>
      <c r="C178" t="s">
        <v>31</v>
      </c>
      <c r="D178" t="s">
        <v>65</v>
      </c>
      <c r="E178" t="s">
        <v>106</v>
      </c>
    </row>
    <row r="179" spans="1:13" x14ac:dyDescent="0.3">
      <c r="A179" t="s">
        <v>240</v>
      </c>
      <c r="B179" t="s">
        <v>108</v>
      </c>
      <c r="C179">
        <v>250</v>
      </c>
      <c r="D179" t="s">
        <v>60</v>
      </c>
      <c r="E179" t="s">
        <v>61</v>
      </c>
      <c r="F179">
        <v>30</v>
      </c>
      <c r="G179" t="s">
        <v>93</v>
      </c>
    </row>
    <row r="180" spans="1:13" x14ac:dyDescent="0.3">
      <c r="A180" t="s">
        <v>240</v>
      </c>
      <c r="B180" t="s">
        <v>110</v>
      </c>
      <c r="C180">
        <v>150</v>
      </c>
      <c r="D180" t="s">
        <v>31</v>
      </c>
      <c r="E180" t="s">
        <v>70</v>
      </c>
      <c r="F180" t="s">
        <v>62</v>
      </c>
    </row>
    <row r="181" spans="1:13" x14ac:dyDescent="0.3">
      <c r="A181" t="s">
        <v>240</v>
      </c>
      <c r="B181" t="s">
        <v>112</v>
      </c>
      <c r="C181">
        <v>300</v>
      </c>
      <c r="D181" t="s">
        <v>60</v>
      </c>
      <c r="E181" t="s">
        <v>65</v>
      </c>
      <c r="F181" t="s">
        <v>80</v>
      </c>
    </row>
    <row r="182" spans="1:13" x14ac:dyDescent="0.3">
      <c r="A182" t="s">
        <v>240</v>
      </c>
      <c r="B182" t="s">
        <v>114</v>
      </c>
      <c r="C182">
        <v>3</v>
      </c>
      <c r="D182">
        <v>180</v>
      </c>
      <c r="E182" t="s">
        <v>31</v>
      </c>
      <c r="F182" t="s">
        <v>61</v>
      </c>
      <c r="G182">
        <v>10</v>
      </c>
      <c r="M182" s="1"/>
    </row>
    <row r="183" spans="1:13" x14ac:dyDescent="0.3">
      <c r="A183" t="s">
        <v>240</v>
      </c>
      <c r="B183" t="s">
        <v>117</v>
      </c>
      <c r="C183">
        <v>90</v>
      </c>
      <c r="D183" t="s">
        <v>60</v>
      </c>
      <c r="E183" t="s">
        <v>65</v>
      </c>
      <c r="F183">
        <v>0</v>
      </c>
      <c r="G183" t="s">
        <v>71</v>
      </c>
    </row>
    <row r="184" spans="1:13" x14ac:dyDescent="0.3">
      <c r="A184" t="s">
        <v>240</v>
      </c>
      <c r="B184" t="s">
        <v>119</v>
      </c>
      <c r="C184">
        <v>320</v>
      </c>
      <c r="D184" t="s">
        <v>31</v>
      </c>
      <c r="E184" t="s">
        <v>70</v>
      </c>
      <c r="F184" t="s">
        <v>120</v>
      </c>
    </row>
    <row r="185" spans="1:13" x14ac:dyDescent="0.3">
      <c r="A185" t="s">
        <v>240</v>
      </c>
      <c r="B185" t="s">
        <v>122</v>
      </c>
      <c r="C185">
        <v>120</v>
      </c>
      <c r="D185" t="s">
        <v>60</v>
      </c>
      <c r="E185" t="s">
        <v>61</v>
      </c>
      <c r="F185" t="s">
        <v>123</v>
      </c>
    </row>
    <row r="186" spans="1:13" x14ac:dyDescent="0.3">
      <c r="A186" t="s">
        <v>240</v>
      </c>
      <c r="B186" t="s">
        <v>125</v>
      </c>
      <c r="C186">
        <v>1</v>
      </c>
      <c r="D186">
        <v>450</v>
      </c>
      <c r="E186" t="s">
        <v>31</v>
      </c>
      <c r="F186" t="s">
        <v>65</v>
      </c>
      <c r="G186">
        <v>15</v>
      </c>
      <c r="M186" s="1"/>
    </row>
    <row r="187" spans="1:13" x14ac:dyDescent="0.3">
      <c r="A187" t="s">
        <v>240</v>
      </c>
      <c r="B187" t="s">
        <v>128</v>
      </c>
      <c r="C187">
        <v>260</v>
      </c>
      <c r="D187" t="s">
        <v>60</v>
      </c>
      <c r="E187" t="s">
        <v>61</v>
      </c>
      <c r="F187" t="s">
        <v>80</v>
      </c>
    </row>
    <row r="188" spans="1:13" x14ac:dyDescent="0.3">
      <c r="A188" t="s">
        <v>240</v>
      </c>
      <c r="B188" t="s">
        <v>130</v>
      </c>
      <c r="C188">
        <v>300</v>
      </c>
      <c r="D188" t="s">
        <v>31</v>
      </c>
      <c r="E188" t="s">
        <v>70</v>
      </c>
      <c r="F188" t="s">
        <v>66</v>
      </c>
    </row>
    <row r="189" spans="1:13" x14ac:dyDescent="0.3">
      <c r="A189" t="s">
        <v>240</v>
      </c>
      <c r="B189" t="s">
        <v>132</v>
      </c>
      <c r="C189">
        <v>200</v>
      </c>
      <c r="D189" t="s">
        <v>60</v>
      </c>
      <c r="E189" t="s">
        <v>65</v>
      </c>
      <c r="F189" t="s">
        <v>103</v>
      </c>
    </row>
    <row r="190" spans="1:13" x14ac:dyDescent="0.3">
      <c r="A190" t="s">
        <v>240</v>
      </c>
      <c r="B190" t="s">
        <v>134</v>
      </c>
      <c r="C190">
        <v>240</v>
      </c>
      <c r="D190" t="s">
        <v>31</v>
      </c>
      <c r="E190" t="s">
        <v>65</v>
      </c>
      <c r="F190">
        <v>10</v>
      </c>
      <c r="G190" t="s">
        <v>74</v>
      </c>
      <c r="M190" s="1"/>
    </row>
    <row r="191" spans="1:13" x14ac:dyDescent="0.3">
      <c r="A191" t="s">
        <v>240</v>
      </c>
      <c r="B191" t="s">
        <v>136</v>
      </c>
      <c r="C191">
        <v>320</v>
      </c>
      <c r="D191" t="s">
        <v>60</v>
      </c>
      <c r="E191" t="s">
        <v>61</v>
      </c>
      <c r="F191" t="s">
        <v>123</v>
      </c>
    </row>
    <row r="192" spans="1:13" x14ac:dyDescent="0.3">
      <c r="A192" t="s">
        <v>240</v>
      </c>
      <c r="B192" t="s">
        <v>138</v>
      </c>
      <c r="C192">
        <v>200</v>
      </c>
      <c r="D192" t="s">
        <v>31</v>
      </c>
      <c r="E192" t="s">
        <v>61</v>
      </c>
      <c r="F192" t="s">
        <v>62</v>
      </c>
    </row>
    <row r="193" spans="1:13" x14ac:dyDescent="0.3">
      <c r="A193" t="s">
        <v>240</v>
      </c>
      <c r="B193" t="s">
        <v>140</v>
      </c>
      <c r="C193">
        <v>250</v>
      </c>
      <c r="D193" t="s">
        <v>60</v>
      </c>
      <c r="E193" t="s">
        <v>65</v>
      </c>
      <c r="F193" t="s">
        <v>141</v>
      </c>
    </row>
    <row r="194" spans="1:13" x14ac:dyDescent="0.3">
      <c r="A194" t="s">
        <v>240</v>
      </c>
      <c r="B194" t="s">
        <v>143</v>
      </c>
      <c r="C194">
        <v>180</v>
      </c>
      <c r="D194" t="s">
        <v>31</v>
      </c>
      <c r="E194" t="s">
        <v>70</v>
      </c>
      <c r="F194" t="s">
        <v>86</v>
      </c>
    </row>
    <row r="195" spans="1:13" x14ac:dyDescent="0.3">
      <c r="A195" t="s">
        <v>240</v>
      </c>
      <c r="B195" t="s">
        <v>145</v>
      </c>
      <c r="C195">
        <v>200</v>
      </c>
      <c r="D195" t="s">
        <v>60</v>
      </c>
      <c r="E195" t="s">
        <v>65</v>
      </c>
      <c r="F195" t="s">
        <v>103</v>
      </c>
    </row>
    <row r="196" spans="1:13" x14ac:dyDescent="0.3">
      <c r="A196" t="s">
        <v>240</v>
      </c>
      <c r="B196" t="s">
        <v>76</v>
      </c>
      <c r="C196">
        <v>500</v>
      </c>
      <c r="D196" t="s">
        <v>31</v>
      </c>
      <c r="E196" t="s">
        <v>61</v>
      </c>
      <c r="F196">
        <v>15</v>
      </c>
      <c r="G196" t="s">
        <v>74</v>
      </c>
      <c r="M196" s="1"/>
    </row>
    <row r="197" spans="1:13" x14ac:dyDescent="0.3">
      <c r="A197" t="s">
        <v>240</v>
      </c>
      <c r="B197" t="s">
        <v>148</v>
      </c>
      <c r="C197">
        <v>180</v>
      </c>
      <c r="D197" t="s">
        <v>60</v>
      </c>
      <c r="E197" t="s">
        <v>65</v>
      </c>
      <c r="F197" t="s">
        <v>123</v>
      </c>
    </row>
    <row r="198" spans="1:13" x14ac:dyDescent="0.3">
      <c r="A198" t="s">
        <v>240</v>
      </c>
      <c r="B198" t="s">
        <v>150</v>
      </c>
      <c r="C198">
        <v>450</v>
      </c>
      <c r="D198" t="s">
        <v>31</v>
      </c>
      <c r="E198" t="s">
        <v>70</v>
      </c>
      <c r="F198" t="s">
        <v>151</v>
      </c>
    </row>
    <row r="199" spans="1:13" x14ac:dyDescent="0.3">
      <c r="A199" t="s">
        <v>240</v>
      </c>
      <c r="B199" t="s">
        <v>95</v>
      </c>
      <c r="C199">
        <v>300</v>
      </c>
      <c r="D199" t="s">
        <v>60</v>
      </c>
      <c r="E199" t="s">
        <v>61</v>
      </c>
      <c r="F199" t="s">
        <v>80</v>
      </c>
    </row>
    <row r="200" spans="1:13" x14ac:dyDescent="0.3">
      <c r="A200" t="s">
        <v>240</v>
      </c>
      <c r="B200" t="s">
        <v>154</v>
      </c>
      <c r="C200">
        <v>260</v>
      </c>
      <c r="D200" t="s">
        <v>31</v>
      </c>
      <c r="E200" t="s">
        <v>65</v>
      </c>
      <c r="F200" t="s">
        <v>86</v>
      </c>
    </row>
    <row r="201" spans="1:13" x14ac:dyDescent="0.3">
      <c r="A201" t="s">
        <v>240</v>
      </c>
      <c r="B201" t="s">
        <v>156</v>
      </c>
      <c r="C201">
        <v>350</v>
      </c>
      <c r="D201" t="s">
        <v>60</v>
      </c>
      <c r="E201" t="s">
        <v>61</v>
      </c>
      <c r="F201" t="s">
        <v>157</v>
      </c>
    </row>
    <row r="202" spans="1:13" x14ac:dyDescent="0.3">
      <c r="A202" t="s">
        <v>240</v>
      </c>
      <c r="B202" t="s">
        <v>159</v>
      </c>
      <c r="C202">
        <v>420</v>
      </c>
      <c r="D202" t="s">
        <v>31</v>
      </c>
      <c r="E202" t="s">
        <v>70</v>
      </c>
      <c r="F202">
        <v>0</v>
      </c>
      <c r="G202" t="s">
        <v>74</v>
      </c>
      <c r="M202" s="1"/>
    </row>
    <row r="203" spans="1:13" x14ac:dyDescent="0.3">
      <c r="A203" t="s">
        <v>240</v>
      </c>
      <c r="B203" t="s">
        <v>161</v>
      </c>
      <c r="C203">
        <v>500</v>
      </c>
      <c r="D203" t="s">
        <v>60</v>
      </c>
      <c r="E203" t="s">
        <v>65</v>
      </c>
      <c r="F203" t="s">
        <v>123</v>
      </c>
    </row>
    <row r="204" spans="1:13" x14ac:dyDescent="0.3">
      <c r="A204" t="s">
        <v>240</v>
      </c>
      <c r="B204" t="s">
        <v>163</v>
      </c>
      <c r="C204">
        <v>220</v>
      </c>
      <c r="D204" t="s">
        <v>31</v>
      </c>
      <c r="E204" t="s">
        <v>65</v>
      </c>
      <c r="F204" t="s">
        <v>164</v>
      </c>
    </row>
    <row r="205" spans="1:13" x14ac:dyDescent="0.3">
      <c r="A205" t="s">
        <v>240</v>
      </c>
      <c r="B205" t="s">
        <v>166</v>
      </c>
      <c r="C205">
        <v>180</v>
      </c>
      <c r="D205" t="s">
        <v>60</v>
      </c>
      <c r="E205" t="s">
        <v>70</v>
      </c>
      <c r="F205" t="s">
        <v>80</v>
      </c>
    </row>
    <row r="206" spans="1:13" x14ac:dyDescent="0.3">
      <c r="A206" t="s">
        <v>240</v>
      </c>
      <c r="B206" t="s">
        <v>168</v>
      </c>
      <c r="C206">
        <v>280</v>
      </c>
      <c r="D206" t="s">
        <v>31</v>
      </c>
      <c r="E206" t="s">
        <v>61</v>
      </c>
      <c r="F206">
        <v>0</v>
      </c>
      <c r="G206" t="s">
        <v>115</v>
      </c>
      <c r="M206" s="1"/>
    </row>
    <row r="207" spans="1:13" x14ac:dyDescent="0.3">
      <c r="A207" t="s">
        <v>240</v>
      </c>
      <c r="B207" t="s">
        <v>76</v>
      </c>
      <c r="C207">
        <v>500</v>
      </c>
      <c r="D207" t="s">
        <v>60</v>
      </c>
      <c r="E207" t="s">
        <v>61</v>
      </c>
      <c r="F207" t="s">
        <v>170</v>
      </c>
    </row>
    <row r="208" spans="1:13" x14ac:dyDescent="0.3">
      <c r="A208" t="s">
        <v>240</v>
      </c>
      <c r="B208" t="s">
        <v>172</v>
      </c>
      <c r="C208">
        <v>160</v>
      </c>
      <c r="D208" t="s">
        <v>31</v>
      </c>
      <c r="E208" t="s">
        <v>70</v>
      </c>
      <c r="F208" t="s">
        <v>106</v>
      </c>
    </row>
    <row r="209" spans="1:13" x14ac:dyDescent="0.3">
      <c r="A209" t="s">
        <v>240</v>
      </c>
      <c r="B209" t="s">
        <v>174</v>
      </c>
      <c r="C209">
        <v>380</v>
      </c>
      <c r="D209" t="s">
        <v>60</v>
      </c>
      <c r="E209" t="s">
        <v>65</v>
      </c>
      <c r="F209" t="s">
        <v>123</v>
      </c>
    </row>
    <row r="210" spans="1:13" x14ac:dyDescent="0.3">
      <c r="A210" t="s">
        <v>240</v>
      </c>
      <c r="B210" t="s">
        <v>176</v>
      </c>
      <c r="C210">
        <v>200</v>
      </c>
      <c r="D210" t="s">
        <v>31</v>
      </c>
      <c r="E210" t="s">
        <v>65</v>
      </c>
      <c r="F210">
        <v>10</v>
      </c>
      <c r="G210" t="s">
        <v>126</v>
      </c>
      <c r="M210" s="1"/>
    </row>
    <row r="211" spans="1:13" x14ac:dyDescent="0.3">
      <c r="A211" t="s">
        <v>240</v>
      </c>
      <c r="B211" t="s">
        <v>178</v>
      </c>
      <c r="C211">
        <v>140</v>
      </c>
      <c r="D211" t="s">
        <v>60</v>
      </c>
      <c r="E211" t="s">
        <v>61</v>
      </c>
      <c r="F211" t="s">
        <v>80</v>
      </c>
    </row>
    <row r="212" spans="1:13" x14ac:dyDescent="0.3">
      <c r="A212" t="s">
        <v>240</v>
      </c>
      <c r="B212" t="s">
        <v>90</v>
      </c>
      <c r="C212">
        <v>100</v>
      </c>
      <c r="D212" t="s">
        <v>31</v>
      </c>
      <c r="E212" t="s">
        <v>65</v>
      </c>
      <c r="F212" t="s">
        <v>86</v>
      </c>
    </row>
    <row r="213" spans="1:13" x14ac:dyDescent="0.3">
      <c r="A213" t="s">
        <v>240</v>
      </c>
      <c r="B213" t="s">
        <v>73</v>
      </c>
      <c r="C213" t="s">
        <v>31</v>
      </c>
      <c r="D213" t="s">
        <v>65</v>
      </c>
      <c r="E213" t="s">
        <v>151</v>
      </c>
    </row>
    <row r="214" spans="1:13" x14ac:dyDescent="0.3">
      <c r="A214" t="s">
        <v>240</v>
      </c>
      <c r="B214" t="s">
        <v>161</v>
      </c>
      <c r="C214">
        <v>500</v>
      </c>
      <c r="D214" t="s">
        <v>60</v>
      </c>
      <c r="E214" t="s">
        <v>61</v>
      </c>
      <c r="F214">
        <v>0</v>
      </c>
      <c r="G214" t="s">
        <v>115</v>
      </c>
    </row>
    <row r="215" spans="1:13" x14ac:dyDescent="0.3">
      <c r="A215" t="s">
        <v>240</v>
      </c>
      <c r="B215" t="s">
        <v>163</v>
      </c>
      <c r="C215">
        <v>220</v>
      </c>
      <c r="D215" t="s">
        <v>31</v>
      </c>
      <c r="E215" t="s">
        <v>70</v>
      </c>
      <c r="F215">
        <v>0</v>
      </c>
      <c r="G215" t="s">
        <v>71</v>
      </c>
    </row>
    <row r="216" spans="1:13" x14ac:dyDescent="0.3">
      <c r="A216" t="s">
        <v>240</v>
      </c>
      <c r="B216" t="s">
        <v>166</v>
      </c>
      <c r="C216">
        <v>180</v>
      </c>
      <c r="D216" t="s">
        <v>60</v>
      </c>
      <c r="E216" t="s">
        <v>65</v>
      </c>
      <c r="F216">
        <v>0</v>
      </c>
      <c r="G216" t="s">
        <v>74</v>
      </c>
    </row>
    <row r="217" spans="1:13" x14ac:dyDescent="0.3">
      <c r="A217" t="s">
        <v>240</v>
      </c>
      <c r="B217" t="s">
        <v>168</v>
      </c>
      <c r="C217">
        <v>280</v>
      </c>
      <c r="D217" t="s">
        <v>31</v>
      </c>
      <c r="E217" t="s">
        <v>61</v>
      </c>
      <c r="F217" t="s">
        <v>77</v>
      </c>
    </row>
    <row r="218" spans="1:13" x14ac:dyDescent="0.3">
      <c r="A218" t="s">
        <v>240</v>
      </c>
      <c r="B218" t="s">
        <v>76</v>
      </c>
      <c r="C218">
        <v>500</v>
      </c>
      <c r="D218" t="s">
        <v>60</v>
      </c>
      <c r="E218" t="s">
        <v>65</v>
      </c>
      <c r="F218" t="s">
        <v>80</v>
      </c>
    </row>
    <row r="219" spans="1:13" x14ac:dyDescent="0.3">
      <c r="A219" t="s">
        <v>240</v>
      </c>
      <c r="B219" t="s">
        <v>172</v>
      </c>
      <c r="C219">
        <v>160</v>
      </c>
      <c r="D219" t="s">
        <v>31</v>
      </c>
      <c r="E219" t="s">
        <v>70</v>
      </c>
      <c r="F219">
        <v>15</v>
      </c>
      <c r="G219" t="s">
        <v>126</v>
      </c>
    </row>
    <row r="220" spans="1:13" x14ac:dyDescent="0.3">
      <c r="A220" t="s">
        <v>240</v>
      </c>
      <c r="B220" t="s">
        <v>188</v>
      </c>
      <c r="C220" t="s">
        <v>60</v>
      </c>
      <c r="D220" t="s">
        <v>61</v>
      </c>
      <c r="E220" t="s">
        <v>86</v>
      </c>
      <c r="M220" s="1"/>
    </row>
    <row r="221" spans="1:13" x14ac:dyDescent="0.3">
      <c r="A221" t="s">
        <v>240</v>
      </c>
      <c r="B221" t="s">
        <v>190</v>
      </c>
      <c r="C221" t="s">
        <v>31</v>
      </c>
      <c r="D221" t="s">
        <v>65</v>
      </c>
      <c r="E221">
        <v>0</v>
      </c>
      <c r="F221" t="s">
        <v>71</v>
      </c>
    </row>
    <row r="222" spans="1:13" x14ac:dyDescent="0.3">
      <c r="A222" t="s">
        <v>240</v>
      </c>
      <c r="B222" t="s">
        <v>178</v>
      </c>
      <c r="C222">
        <v>140</v>
      </c>
      <c r="D222" t="s">
        <v>60</v>
      </c>
      <c r="E222" t="s">
        <v>65</v>
      </c>
      <c r="F222">
        <v>20</v>
      </c>
      <c r="G222" t="s">
        <v>74</v>
      </c>
      <c r="M222" s="1"/>
    </row>
    <row r="223" spans="1:13" x14ac:dyDescent="0.3">
      <c r="A223" t="s">
        <v>240</v>
      </c>
      <c r="B223" t="s">
        <v>90</v>
      </c>
      <c r="C223">
        <v>100</v>
      </c>
      <c r="D223" t="s">
        <v>31</v>
      </c>
      <c r="E223" t="s">
        <v>70</v>
      </c>
      <c r="F223">
        <v>0</v>
      </c>
      <c r="G223" t="s">
        <v>93</v>
      </c>
    </row>
    <row r="224" spans="1:13" x14ac:dyDescent="0.3">
      <c r="A224" t="s">
        <v>240</v>
      </c>
      <c r="B224" t="s">
        <v>92</v>
      </c>
      <c r="C224">
        <v>320</v>
      </c>
      <c r="D224" t="s">
        <v>60</v>
      </c>
      <c r="E224" t="s">
        <v>61</v>
      </c>
      <c r="F224" t="s">
        <v>62</v>
      </c>
    </row>
    <row r="225" spans="1:13" x14ac:dyDescent="0.3">
      <c r="A225" t="s">
        <v>240</v>
      </c>
      <c r="B225" t="s">
        <v>95</v>
      </c>
      <c r="C225">
        <v>350</v>
      </c>
      <c r="D225" t="s">
        <v>31</v>
      </c>
      <c r="E225" t="s">
        <v>65</v>
      </c>
      <c r="F225">
        <v>25</v>
      </c>
      <c r="G225" t="s">
        <v>195</v>
      </c>
    </row>
    <row r="226" spans="1:13" x14ac:dyDescent="0.3">
      <c r="A226" t="s">
        <v>240</v>
      </c>
      <c r="B226" t="s">
        <v>98</v>
      </c>
      <c r="C226" t="s">
        <v>60</v>
      </c>
      <c r="D226" t="s">
        <v>65</v>
      </c>
      <c r="E226" t="s">
        <v>86</v>
      </c>
      <c r="M226" s="1"/>
    </row>
    <row r="227" spans="1:13" x14ac:dyDescent="0.3">
      <c r="A227" t="s">
        <v>240</v>
      </c>
      <c r="B227" t="s">
        <v>198</v>
      </c>
      <c r="C227">
        <v>300</v>
      </c>
      <c r="D227" t="s">
        <v>31</v>
      </c>
      <c r="E227" t="s">
        <v>61</v>
      </c>
      <c r="F227" t="s">
        <v>103</v>
      </c>
    </row>
    <row r="228" spans="1:13" x14ac:dyDescent="0.3">
      <c r="A228" t="s">
        <v>240</v>
      </c>
      <c r="B228" t="s">
        <v>102</v>
      </c>
      <c r="C228">
        <v>150</v>
      </c>
      <c r="D228" t="s">
        <v>60</v>
      </c>
      <c r="E228" t="s">
        <v>65</v>
      </c>
      <c r="F228">
        <v>10</v>
      </c>
      <c r="G228" t="s">
        <v>74</v>
      </c>
    </row>
    <row r="229" spans="1:13" x14ac:dyDescent="0.3">
      <c r="A229" t="s">
        <v>240</v>
      </c>
      <c r="B229" t="s">
        <v>201</v>
      </c>
      <c r="C229">
        <v>400</v>
      </c>
      <c r="D229" t="s">
        <v>31</v>
      </c>
      <c r="E229" t="s">
        <v>70</v>
      </c>
      <c r="F229">
        <v>0</v>
      </c>
      <c r="G229" t="s">
        <v>93</v>
      </c>
    </row>
    <row r="230" spans="1:13" x14ac:dyDescent="0.3">
      <c r="A230" t="s">
        <v>240</v>
      </c>
      <c r="B230" t="s">
        <v>108</v>
      </c>
      <c r="C230">
        <v>250</v>
      </c>
      <c r="D230" t="s">
        <v>60</v>
      </c>
      <c r="E230" t="s">
        <v>61</v>
      </c>
      <c r="F230" t="s">
        <v>62</v>
      </c>
    </row>
    <row r="231" spans="1:13" x14ac:dyDescent="0.3">
      <c r="A231" t="s">
        <v>240</v>
      </c>
      <c r="B231" t="s">
        <v>110</v>
      </c>
      <c r="C231">
        <v>150</v>
      </c>
      <c r="D231" t="s">
        <v>31</v>
      </c>
      <c r="E231" t="s">
        <v>65</v>
      </c>
      <c r="F231" t="s">
        <v>204</v>
      </c>
    </row>
    <row r="232" spans="1:13" x14ac:dyDescent="0.3">
      <c r="A232" t="s">
        <v>240</v>
      </c>
      <c r="B232" t="s">
        <v>112</v>
      </c>
      <c r="C232">
        <v>300</v>
      </c>
      <c r="D232" t="s">
        <v>60</v>
      </c>
      <c r="E232" t="s">
        <v>65</v>
      </c>
      <c r="F232">
        <v>0</v>
      </c>
      <c r="G232" t="s">
        <v>115</v>
      </c>
      <c r="M232" s="1"/>
    </row>
    <row r="233" spans="1:13" x14ac:dyDescent="0.3">
      <c r="A233" t="s">
        <v>240</v>
      </c>
      <c r="B233" t="s">
        <v>207</v>
      </c>
      <c r="C233">
        <v>180</v>
      </c>
      <c r="D233" t="s">
        <v>31</v>
      </c>
      <c r="E233" t="s">
        <v>61</v>
      </c>
      <c r="F233" t="s">
        <v>103</v>
      </c>
    </row>
    <row r="234" spans="1:13" x14ac:dyDescent="0.3">
      <c r="A234" t="s">
        <v>240</v>
      </c>
      <c r="B234" t="s">
        <v>117</v>
      </c>
      <c r="C234">
        <v>90</v>
      </c>
      <c r="D234" t="s">
        <v>60</v>
      </c>
      <c r="E234" t="s">
        <v>65</v>
      </c>
      <c r="F234" t="s">
        <v>120</v>
      </c>
    </row>
    <row r="235" spans="1:13" x14ac:dyDescent="0.3">
      <c r="A235" t="s">
        <v>240</v>
      </c>
      <c r="B235" t="s">
        <v>119</v>
      </c>
      <c r="C235">
        <v>320</v>
      </c>
      <c r="D235" t="s">
        <v>31</v>
      </c>
      <c r="E235" t="s">
        <v>70</v>
      </c>
      <c r="F235">
        <v>0</v>
      </c>
      <c r="G235" t="s">
        <v>93</v>
      </c>
    </row>
    <row r="236" spans="1:13" x14ac:dyDescent="0.3">
      <c r="A236" t="s">
        <v>240</v>
      </c>
      <c r="B236" t="s">
        <v>122</v>
      </c>
      <c r="C236">
        <v>120</v>
      </c>
      <c r="D236" t="s">
        <v>60</v>
      </c>
      <c r="E236" t="s">
        <v>65</v>
      </c>
      <c r="F236">
        <v>0</v>
      </c>
      <c r="G236" t="s">
        <v>126</v>
      </c>
      <c r="M236" s="1"/>
    </row>
    <row r="237" spans="1:13" x14ac:dyDescent="0.3">
      <c r="A237" t="s">
        <v>240</v>
      </c>
      <c r="B237" t="s">
        <v>212</v>
      </c>
      <c r="C237">
        <v>450</v>
      </c>
      <c r="D237" t="s">
        <v>31</v>
      </c>
      <c r="E237" t="s">
        <v>61</v>
      </c>
      <c r="F237">
        <v>10</v>
      </c>
      <c r="G237" t="s">
        <v>195</v>
      </c>
    </row>
    <row r="238" spans="1:13" x14ac:dyDescent="0.3">
      <c r="A238" t="s">
        <v>240</v>
      </c>
      <c r="B238" t="s">
        <v>128</v>
      </c>
      <c r="C238">
        <v>260</v>
      </c>
      <c r="D238" t="s">
        <v>60</v>
      </c>
      <c r="E238" t="s">
        <v>61</v>
      </c>
      <c r="F238" t="s">
        <v>86</v>
      </c>
    </row>
    <row r="239" spans="1:13" x14ac:dyDescent="0.3">
      <c r="A239" t="s">
        <v>240</v>
      </c>
      <c r="B239" t="s">
        <v>130</v>
      </c>
      <c r="C239">
        <v>300</v>
      </c>
      <c r="D239" t="s">
        <v>31</v>
      </c>
      <c r="E239" t="s">
        <v>70</v>
      </c>
      <c r="F239" t="s">
        <v>103</v>
      </c>
    </row>
    <row r="240" spans="1:13" x14ac:dyDescent="0.3">
      <c r="A240" t="s">
        <v>240</v>
      </c>
      <c r="B240" t="s">
        <v>132</v>
      </c>
      <c r="C240">
        <v>200</v>
      </c>
      <c r="D240" t="s">
        <v>60</v>
      </c>
      <c r="E240" t="s">
        <v>65</v>
      </c>
      <c r="F240">
        <v>25</v>
      </c>
      <c r="G240" t="s">
        <v>74</v>
      </c>
      <c r="M240" s="1"/>
    </row>
    <row r="241" spans="1:13" x14ac:dyDescent="0.3">
      <c r="A241" t="s">
        <v>240</v>
      </c>
      <c r="B241" t="s">
        <v>134</v>
      </c>
      <c r="C241">
        <v>240</v>
      </c>
      <c r="D241" t="s">
        <v>31</v>
      </c>
      <c r="E241" t="s">
        <v>65</v>
      </c>
      <c r="F241">
        <v>0</v>
      </c>
      <c r="G241" t="s">
        <v>93</v>
      </c>
    </row>
    <row r="242" spans="1:13" x14ac:dyDescent="0.3">
      <c r="A242" t="s">
        <v>240</v>
      </c>
      <c r="B242" t="s">
        <v>136</v>
      </c>
      <c r="C242">
        <v>320</v>
      </c>
      <c r="D242" t="s">
        <v>60</v>
      </c>
      <c r="E242" t="s">
        <v>61</v>
      </c>
      <c r="F242" t="s">
        <v>62</v>
      </c>
    </row>
    <row r="243" spans="1:13" x14ac:dyDescent="0.3">
      <c r="A243" t="s">
        <v>240</v>
      </c>
      <c r="B243" t="s">
        <v>138</v>
      </c>
      <c r="C243">
        <v>200</v>
      </c>
      <c r="D243" t="s">
        <v>31</v>
      </c>
      <c r="E243" t="s">
        <v>65</v>
      </c>
      <c r="F243" t="s">
        <v>80</v>
      </c>
    </row>
    <row r="244" spans="1:13" x14ac:dyDescent="0.3">
      <c r="A244" t="s">
        <v>240</v>
      </c>
      <c r="B244" t="s">
        <v>140</v>
      </c>
      <c r="C244">
        <v>250</v>
      </c>
      <c r="D244" t="s">
        <v>60</v>
      </c>
      <c r="E244" t="s">
        <v>70</v>
      </c>
      <c r="F244" t="s">
        <v>220</v>
      </c>
    </row>
    <row r="245" spans="1:13" x14ac:dyDescent="0.3">
      <c r="A245" t="s">
        <v>240</v>
      </c>
      <c r="B245" t="s">
        <v>143</v>
      </c>
      <c r="C245">
        <v>180</v>
      </c>
      <c r="D245" t="s">
        <v>31</v>
      </c>
      <c r="E245" t="s">
        <v>65</v>
      </c>
      <c r="F245" t="s">
        <v>103</v>
      </c>
    </row>
    <row r="246" spans="1:13" x14ac:dyDescent="0.3">
      <c r="A246" t="s">
        <v>240</v>
      </c>
      <c r="B246" t="s">
        <v>145</v>
      </c>
      <c r="C246">
        <v>200</v>
      </c>
      <c r="D246" t="s">
        <v>60</v>
      </c>
      <c r="E246" t="s">
        <v>61</v>
      </c>
      <c r="F246">
        <v>0</v>
      </c>
      <c r="G246" t="s">
        <v>74</v>
      </c>
      <c r="M246" s="1"/>
    </row>
    <row r="247" spans="1:13" x14ac:dyDescent="0.3">
      <c r="A247" t="s">
        <v>240</v>
      </c>
      <c r="B247" t="s">
        <v>76</v>
      </c>
      <c r="C247">
        <v>500</v>
      </c>
      <c r="D247" t="s">
        <v>31</v>
      </c>
      <c r="E247" t="s">
        <v>65</v>
      </c>
      <c r="F247">
        <v>30</v>
      </c>
      <c r="G247" t="s">
        <v>93</v>
      </c>
    </row>
    <row r="248" spans="1:13" x14ac:dyDescent="0.3">
      <c r="A248" t="s">
        <v>240</v>
      </c>
      <c r="B248" t="s">
        <v>148</v>
      </c>
      <c r="C248">
        <v>180</v>
      </c>
      <c r="D248" t="s">
        <v>60</v>
      </c>
      <c r="E248" t="s">
        <v>65</v>
      </c>
      <c r="F248" t="s">
        <v>62</v>
      </c>
    </row>
    <row r="249" spans="1:13" x14ac:dyDescent="0.3">
      <c r="A249" t="s">
        <v>240</v>
      </c>
      <c r="B249" t="s">
        <v>150</v>
      </c>
      <c r="C249">
        <v>450</v>
      </c>
      <c r="D249" t="s">
        <v>31</v>
      </c>
      <c r="E249" t="s">
        <v>70</v>
      </c>
      <c r="F249" t="s">
        <v>80</v>
      </c>
    </row>
    <row r="250" spans="1:13" x14ac:dyDescent="0.3">
      <c r="A250" t="s">
        <v>240</v>
      </c>
      <c r="B250" t="s">
        <v>95</v>
      </c>
      <c r="C250">
        <v>300</v>
      </c>
      <c r="D250" t="s">
        <v>60</v>
      </c>
      <c r="E250" t="s">
        <v>61</v>
      </c>
      <c r="F250">
        <v>10</v>
      </c>
      <c r="G250" t="s">
        <v>115</v>
      </c>
      <c r="M250" s="1"/>
    </row>
    <row r="251" spans="1:13" x14ac:dyDescent="0.3">
      <c r="A251" t="s">
        <v>240</v>
      </c>
      <c r="B251" t="s">
        <v>154</v>
      </c>
      <c r="C251">
        <v>260</v>
      </c>
      <c r="D251" t="s">
        <v>31</v>
      </c>
      <c r="E251" t="s">
        <v>61</v>
      </c>
      <c r="F251" t="s">
        <v>103</v>
      </c>
    </row>
    <row r="252" spans="1:13" x14ac:dyDescent="0.3">
      <c r="A252" t="s">
        <v>240</v>
      </c>
      <c r="B252" t="s">
        <v>156</v>
      </c>
      <c r="C252">
        <v>350</v>
      </c>
      <c r="D252" t="s">
        <v>60</v>
      </c>
      <c r="E252" t="s">
        <v>65</v>
      </c>
      <c r="F252" t="s">
        <v>106</v>
      </c>
    </row>
    <row r="253" spans="1:13" x14ac:dyDescent="0.3">
      <c r="A253" t="s">
        <v>240</v>
      </c>
      <c r="B253" t="s">
        <v>159</v>
      </c>
      <c r="C253">
        <v>420</v>
      </c>
      <c r="D253" t="s">
        <v>31</v>
      </c>
      <c r="E253" t="s">
        <v>70</v>
      </c>
      <c r="F253" t="s">
        <v>230</v>
      </c>
    </row>
    <row r="254" spans="1:13" x14ac:dyDescent="0.3">
      <c r="A254" t="s">
        <v>240</v>
      </c>
      <c r="B254" t="s">
        <v>161</v>
      </c>
      <c r="C254">
        <v>500</v>
      </c>
      <c r="D254" t="s">
        <v>60</v>
      </c>
      <c r="E254" t="s">
        <v>61</v>
      </c>
      <c r="F254" t="s">
        <v>62</v>
      </c>
    </row>
    <row r="255" spans="1:13" x14ac:dyDescent="0.3">
      <c r="A255" t="s">
        <v>240</v>
      </c>
      <c r="B255" t="s">
        <v>163</v>
      </c>
      <c r="C255">
        <v>220</v>
      </c>
      <c r="D255" t="s">
        <v>31</v>
      </c>
      <c r="E255" t="s">
        <v>65</v>
      </c>
      <c r="F255" t="s">
        <v>80</v>
      </c>
    </row>
    <row r="256" spans="1:13" x14ac:dyDescent="0.3">
      <c r="A256" t="s">
        <v>240</v>
      </c>
      <c r="B256" t="s">
        <v>166</v>
      </c>
      <c r="C256">
        <v>180</v>
      </c>
      <c r="D256" t="s">
        <v>60</v>
      </c>
      <c r="E256" t="s">
        <v>70</v>
      </c>
      <c r="F256">
        <v>15</v>
      </c>
      <c r="G256" t="s">
        <v>115</v>
      </c>
      <c r="M256" s="1"/>
    </row>
    <row r="257" spans="1:13" x14ac:dyDescent="0.3">
      <c r="A257" t="s">
        <v>240</v>
      </c>
      <c r="B257" t="s">
        <v>168</v>
      </c>
      <c r="C257">
        <v>280</v>
      </c>
      <c r="D257" t="s">
        <v>31</v>
      </c>
      <c r="E257" t="s">
        <v>61</v>
      </c>
      <c r="F257" t="s">
        <v>103</v>
      </c>
    </row>
    <row r="258" spans="1:13" x14ac:dyDescent="0.3">
      <c r="A258" t="s">
        <v>240</v>
      </c>
      <c r="B258" t="s">
        <v>76</v>
      </c>
      <c r="C258">
        <v>500</v>
      </c>
      <c r="D258" t="s">
        <v>60</v>
      </c>
      <c r="E258" t="s">
        <v>65</v>
      </c>
      <c r="F258" t="s">
        <v>106</v>
      </c>
    </row>
    <row r="259" spans="1:13" x14ac:dyDescent="0.3">
      <c r="A259" t="s">
        <v>240</v>
      </c>
      <c r="B259" t="s">
        <v>172</v>
      </c>
      <c r="C259">
        <v>160</v>
      </c>
      <c r="D259" t="s">
        <v>31</v>
      </c>
      <c r="E259" t="s">
        <v>70</v>
      </c>
      <c r="F259" t="s">
        <v>123</v>
      </c>
    </row>
    <row r="260" spans="1:13" x14ac:dyDescent="0.3">
      <c r="A260" t="s">
        <v>240</v>
      </c>
      <c r="B260" t="s">
        <v>174</v>
      </c>
      <c r="C260">
        <v>380</v>
      </c>
      <c r="D260" t="s">
        <v>60</v>
      </c>
      <c r="E260" t="s">
        <v>65</v>
      </c>
      <c r="F260">
        <v>10</v>
      </c>
      <c r="G260" t="s">
        <v>126</v>
      </c>
      <c r="M260" s="1"/>
    </row>
    <row r="261" spans="1:13" x14ac:dyDescent="0.3">
      <c r="A261" t="s">
        <v>240</v>
      </c>
      <c r="B261" t="s">
        <v>176</v>
      </c>
      <c r="C261">
        <v>200</v>
      </c>
      <c r="D261" t="s">
        <v>31</v>
      </c>
      <c r="E261" t="s">
        <v>61</v>
      </c>
      <c r="F261" t="s">
        <v>80</v>
      </c>
    </row>
    <row r="262" spans="1:13" x14ac:dyDescent="0.3">
      <c r="A262" t="s">
        <v>240</v>
      </c>
      <c r="B262" t="s">
        <v>178</v>
      </c>
      <c r="C262">
        <v>140</v>
      </c>
      <c r="D262" t="s">
        <v>60</v>
      </c>
      <c r="E262" t="s">
        <v>65</v>
      </c>
      <c r="F262" t="s">
        <v>86</v>
      </c>
    </row>
    <row r="263" spans="1:13" x14ac:dyDescent="0.3">
      <c r="A263" t="s">
        <v>240</v>
      </c>
      <c r="B263" t="s">
        <v>52</v>
      </c>
      <c r="C263" t="s">
        <v>53</v>
      </c>
    </row>
    <row r="264" spans="1:13" x14ac:dyDescent="0.3">
      <c r="A264" t="s">
        <v>240</v>
      </c>
      <c r="B264" t="s">
        <v>55</v>
      </c>
      <c r="C264" t="s">
        <v>56</v>
      </c>
      <c r="D264">
        <v>30</v>
      </c>
      <c r="E264" t="s">
        <v>57</v>
      </c>
      <c r="M264" s="1"/>
    </row>
    <row r="265" spans="1:13" x14ac:dyDescent="0.3">
      <c r="A265" t="s">
        <v>240</v>
      </c>
      <c r="B265" t="s">
        <v>59</v>
      </c>
      <c r="C265" t="s">
        <v>60</v>
      </c>
      <c r="D265" t="s">
        <v>61</v>
      </c>
      <c r="E265" t="s">
        <v>62</v>
      </c>
    </row>
    <row r="266" spans="1:13" x14ac:dyDescent="0.3">
      <c r="A266" t="s">
        <v>240</v>
      </c>
      <c r="B266" t="s">
        <v>64</v>
      </c>
      <c r="C266" t="s">
        <v>31</v>
      </c>
      <c r="D266" t="s">
        <v>65</v>
      </c>
      <c r="E266" t="s">
        <v>66</v>
      </c>
    </row>
    <row r="267" spans="1:13" x14ac:dyDescent="0.3">
      <c r="A267" t="s">
        <v>240</v>
      </c>
      <c r="B267" t="s">
        <v>68</v>
      </c>
      <c r="C267" t="s">
        <v>69</v>
      </c>
      <c r="D267" t="s">
        <v>60</v>
      </c>
      <c r="E267" t="s">
        <v>70</v>
      </c>
      <c r="F267">
        <v>0</v>
      </c>
      <c r="G267" t="s">
        <v>71</v>
      </c>
    </row>
    <row r="268" spans="1:13" x14ac:dyDescent="0.3">
      <c r="A268" t="s">
        <v>240</v>
      </c>
      <c r="B268" t="s">
        <v>73</v>
      </c>
      <c r="C268" t="s">
        <v>31</v>
      </c>
      <c r="D268" t="s">
        <v>65</v>
      </c>
      <c r="E268">
        <v>0</v>
      </c>
      <c r="F268" t="s">
        <v>74</v>
      </c>
      <c r="M268" s="1"/>
    </row>
    <row r="269" spans="1:13" x14ac:dyDescent="0.3">
      <c r="A269" t="s">
        <v>240</v>
      </c>
      <c r="B269" t="s">
        <v>76</v>
      </c>
      <c r="C269">
        <v>500</v>
      </c>
      <c r="D269" t="s">
        <v>60</v>
      </c>
      <c r="E269" t="s">
        <v>61</v>
      </c>
      <c r="F269" t="s">
        <v>77</v>
      </c>
    </row>
    <row r="270" spans="1:13" x14ac:dyDescent="0.3">
      <c r="A270" t="s">
        <v>240</v>
      </c>
      <c r="B270" t="s">
        <v>79</v>
      </c>
      <c r="C270">
        <v>1</v>
      </c>
      <c r="D270">
        <v>160</v>
      </c>
      <c r="E270" t="s">
        <v>31</v>
      </c>
      <c r="F270" t="s">
        <v>70</v>
      </c>
      <c r="G270" t="s">
        <v>80</v>
      </c>
    </row>
    <row r="271" spans="1:13" x14ac:dyDescent="0.3">
      <c r="A271" t="s">
        <v>240</v>
      </c>
      <c r="B271" t="s">
        <v>82</v>
      </c>
      <c r="C271" t="s">
        <v>60</v>
      </c>
      <c r="D271" t="s">
        <v>65</v>
      </c>
      <c r="E271" t="s">
        <v>83</v>
      </c>
    </row>
    <row r="272" spans="1:13" x14ac:dyDescent="0.3">
      <c r="A272" t="s">
        <v>240</v>
      </c>
      <c r="B272" t="s">
        <v>85</v>
      </c>
      <c r="C272" t="s">
        <v>31</v>
      </c>
      <c r="D272" t="s">
        <v>61</v>
      </c>
      <c r="E272" t="s">
        <v>86</v>
      </c>
      <c r="M272" s="1"/>
    </row>
    <row r="273" spans="1:13" x14ac:dyDescent="0.3">
      <c r="A273" t="s">
        <v>240</v>
      </c>
      <c r="B273" t="s">
        <v>88</v>
      </c>
      <c r="C273" t="s">
        <v>60</v>
      </c>
      <c r="D273" t="s">
        <v>65</v>
      </c>
      <c r="E273">
        <v>0</v>
      </c>
      <c r="F273" t="s">
        <v>71</v>
      </c>
    </row>
    <row r="274" spans="1:13" x14ac:dyDescent="0.3">
      <c r="A274" t="s">
        <v>240</v>
      </c>
      <c r="B274" t="s">
        <v>90</v>
      </c>
      <c r="C274">
        <v>100</v>
      </c>
      <c r="D274" t="s">
        <v>31</v>
      </c>
      <c r="E274" t="s">
        <v>70</v>
      </c>
      <c r="F274">
        <v>10</v>
      </c>
      <c r="G274" t="s">
        <v>74</v>
      </c>
      <c r="M274" s="1"/>
    </row>
    <row r="275" spans="1:13" x14ac:dyDescent="0.3">
      <c r="A275" t="s">
        <v>240</v>
      </c>
      <c r="B275" t="s">
        <v>92</v>
      </c>
      <c r="C275">
        <v>320</v>
      </c>
      <c r="D275" t="s">
        <v>60</v>
      </c>
      <c r="E275" t="s">
        <v>65</v>
      </c>
      <c r="F275">
        <v>0</v>
      </c>
      <c r="G275" t="s">
        <v>93</v>
      </c>
    </row>
    <row r="276" spans="1:13" x14ac:dyDescent="0.3">
      <c r="A276" t="s">
        <v>240</v>
      </c>
      <c r="B276" t="s">
        <v>95</v>
      </c>
      <c r="C276">
        <v>350</v>
      </c>
      <c r="D276" t="s">
        <v>31</v>
      </c>
      <c r="E276" t="s">
        <v>61</v>
      </c>
      <c r="F276" t="s">
        <v>96</v>
      </c>
    </row>
    <row r="277" spans="1:13" x14ac:dyDescent="0.3">
      <c r="A277" t="s">
        <v>240</v>
      </c>
      <c r="B277" t="s">
        <v>98</v>
      </c>
      <c r="C277" t="s">
        <v>60</v>
      </c>
      <c r="D277" t="s">
        <v>70</v>
      </c>
      <c r="E277" t="s">
        <v>80</v>
      </c>
    </row>
    <row r="278" spans="1:13" x14ac:dyDescent="0.3">
      <c r="A278" t="s">
        <v>240</v>
      </c>
      <c r="B278" t="s">
        <v>100</v>
      </c>
      <c r="C278" t="s">
        <v>31</v>
      </c>
      <c r="D278" t="s">
        <v>65</v>
      </c>
      <c r="E278" t="s">
        <v>66</v>
      </c>
      <c r="M278" s="1"/>
    </row>
    <row r="279" spans="1:13" x14ac:dyDescent="0.3">
      <c r="A279" t="s">
        <v>240</v>
      </c>
      <c r="B279" t="s">
        <v>102</v>
      </c>
      <c r="C279">
        <v>150</v>
      </c>
      <c r="D279" t="s">
        <v>60</v>
      </c>
      <c r="E279" t="s">
        <v>61</v>
      </c>
      <c r="F279" t="s">
        <v>103</v>
      </c>
    </row>
    <row r="280" spans="1:13" x14ac:dyDescent="0.3">
      <c r="A280" t="s">
        <v>240</v>
      </c>
      <c r="B280" t="s">
        <v>105</v>
      </c>
      <c r="C280" t="s">
        <v>31</v>
      </c>
      <c r="D280" t="s">
        <v>65</v>
      </c>
      <c r="E280" t="s">
        <v>106</v>
      </c>
    </row>
    <row r="281" spans="1:13" x14ac:dyDescent="0.3">
      <c r="A281" t="s">
        <v>240</v>
      </c>
      <c r="B281" t="s">
        <v>108</v>
      </c>
      <c r="C281">
        <v>250</v>
      </c>
      <c r="D281" t="s">
        <v>60</v>
      </c>
      <c r="E281" t="s">
        <v>61</v>
      </c>
      <c r="F281">
        <v>30</v>
      </c>
      <c r="G281" t="s">
        <v>93</v>
      </c>
    </row>
    <row r="282" spans="1:13" x14ac:dyDescent="0.3">
      <c r="A282" t="s">
        <v>240</v>
      </c>
      <c r="B282" t="s">
        <v>110</v>
      </c>
      <c r="C282">
        <v>150</v>
      </c>
      <c r="D282" t="s">
        <v>31</v>
      </c>
      <c r="E282" t="s">
        <v>70</v>
      </c>
      <c r="F282" t="s">
        <v>62</v>
      </c>
    </row>
    <row r="283" spans="1:13" x14ac:dyDescent="0.3">
      <c r="A283" t="s">
        <v>240</v>
      </c>
      <c r="B283" t="s">
        <v>112</v>
      </c>
      <c r="C283">
        <v>300</v>
      </c>
      <c r="D283" t="s">
        <v>60</v>
      </c>
      <c r="E283" t="s">
        <v>65</v>
      </c>
      <c r="F283" t="s">
        <v>80</v>
      </c>
    </row>
    <row r="284" spans="1:13" x14ac:dyDescent="0.3">
      <c r="A284" t="s">
        <v>240</v>
      </c>
      <c r="B284" t="s">
        <v>114</v>
      </c>
      <c r="C284">
        <v>3</v>
      </c>
      <c r="D284">
        <v>180</v>
      </c>
      <c r="E284" t="s">
        <v>31</v>
      </c>
      <c r="F284" t="s">
        <v>61</v>
      </c>
      <c r="G284">
        <v>10</v>
      </c>
      <c r="M284" s="1"/>
    </row>
    <row r="285" spans="1:13" x14ac:dyDescent="0.3">
      <c r="A285" t="s">
        <v>240</v>
      </c>
      <c r="B285" t="s">
        <v>117</v>
      </c>
      <c r="C285">
        <v>90</v>
      </c>
      <c r="D285" t="s">
        <v>60</v>
      </c>
      <c r="E285" t="s">
        <v>65</v>
      </c>
      <c r="F285">
        <v>0</v>
      </c>
      <c r="G285" t="s">
        <v>71</v>
      </c>
    </row>
    <row r="286" spans="1:13" x14ac:dyDescent="0.3">
      <c r="A286" t="s">
        <v>240</v>
      </c>
      <c r="B286" t="s">
        <v>119</v>
      </c>
      <c r="C286">
        <v>320</v>
      </c>
      <c r="D286" t="s">
        <v>31</v>
      </c>
      <c r="E286" t="s">
        <v>70</v>
      </c>
      <c r="F286" t="s">
        <v>120</v>
      </c>
    </row>
    <row r="287" spans="1:13" x14ac:dyDescent="0.3">
      <c r="A287" t="s">
        <v>240</v>
      </c>
      <c r="B287" t="s">
        <v>122</v>
      </c>
      <c r="C287">
        <v>120</v>
      </c>
      <c r="D287" t="s">
        <v>60</v>
      </c>
      <c r="E287" t="s">
        <v>61</v>
      </c>
      <c r="F287" t="s">
        <v>123</v>
      </c>
    </row>
    <row r="288" spans="1:13" x14ac:dyDescent="0.3">
      <c r="A288" t="s">
        <v>240</v>
      </c>
      <c r="B288" t="s">
        <v>125</v>
      </c>
      <c r="C288">
        <v>1</v>
      </c>
      <c r="D288">
        <v>450</v>
      </c>
      <c r="E288" t="s">
        <v>31</v>
      </c>
      <c r="F288" t="s">
        <v>65</v>
      </c>
      <c r="G288">
        <v>15</v>
      </c>
      <c r="M288" s="1"/>
    </row>
    <row r="289" spans="1:13" x14ac:dyDescent="0.3">
      <c r="A289" t="s">
        <v>240</v>
      </c>
      <c r="B289" t="s">
        <v>128</v>
      </c>
      <c r="C289">
        <v>260</v>
      </c>
      <c r="D289" t="s">
        <v>60</v>
      </c>
      <c r="E289" t="s">
        <v>61</v>
      </c>
      <c r="F289" t="s">
        <v>80</v>
      </c>
    </row>
    <row r="290" spans="1:13" x14ac:dyDescent="0.3">
      <c r="A290" t="s">
        <v>240</v>
      </c>
      <c r="B290" t="s">
        <v>130</v>
      </c>
      <c r="C290">
        <v>300</v>
      </c>
      <c r="D290" t="s">
        <v>31</v>
      </c>
      <c r="E290" t="s">
        <v>70</v>
      </c>
      <c r="F290" t="s">
        <v>66</v>
      </c>
    </row>
    <row r="291" spans="1:13" x14ac:dyDescent="0.3">
      <c r="A291" t="s">
        <v>240</v>
      </c>
      <c r="B291" t="s">
        <v>132</v>
      </c>
      <c r="C291">
        <v>200</v>
      </c>
      <c r="D291" t="s">
        <v>60</v>
      </c>
      <c r="E291" t="s">
        <v>65</v>
      </c>
      <c r="F291" t="s">
        <v>103</v>
      </c>
    </row>
    <row r="292" spans="1:13" x14ac:dyDescent="0.3">
      <c r="A292" t="s">
        <v>240</v>
      </c>
      <c r="B292" t="s">
        <v>134</v>
      </c>
      <c r="C292">
        <v>240</v>
      </c>
      <c r="D292" t="s">
        <v>31</v>
      </c>
      <c r="E292" t="s">
        <v>65</v>
      </c>
      <c r="F292">
        <v>10</v>
      </c>
      <c r="G292" t="s">
        <v>74</v>
      </c>
      <c r="M292" s="1"/>
    </row>
    <row r="293" spans="1:13" x14ac:dyDescent="0.3">
      <c r="A293" t="s">
        <v>240</v>
      </c>
      <c r="B293" t="s">
        <v>136</v>
      </c>
      <c r="C293">
        <v>320</v>
      </c>
      <c r="D293" t="s">
        <v>60</v>
      </c>
      <c r="E293" t="s">
        <v>61</v>
      </c>
      <c r="F293" t="s">
        <v>123</v>
      </c>
    </row>
    <row r="294" spans="1:13" x14ac:dyDescent="0.3">
      <c r="A294" t="s">
        <v>240</v>
      </c>
      <c r="B294" t="s">
        <v>138</v>
      </c>
      <c r="C294">
        <v>200</v>
      </c>
      <c r="D294" t="s">
        <v>31</v>
      </c>
      <c r="E294" t="s">
        <v>61</v>
      </c>
      <c r="F294" t="s">
        <v>62</v>
      </c>
    </row>
    <row r="295" spans="1:13" x14ac:dyDescent="0.3">
      <c r="A295" t="s">
        <v>240</v>
      </c>
      <c r="B295" t="s">
        <v>140</v>
      </c>
      <c r="C295">
        <v>250</v>
      </c>
      <c r="D295" t="s">
        <v>60</v>
      </c>
      <c r="E295" t="s">
        <v>65</v>
      </c>
      <c r="F295" t="s">
        <v>141</v>
      </c>
    </row>
    <row r="296" spans="1:13" x14ac:dyDescent="0.3">
      <c r="A296" t="s">
        <v>240</v>
      </c>
      <c r="B296" t="s">
        <v>143</v>
      </c>
      <c r="C296">
        <v>180</v>
      </c>
      <c r="D296" t="s">
        <v>31</v>
      </c>
      <c r="E296" t="s">
        <v>70</v>
      </c>
      <c r="F296" t="s">
        <v>86</v>
      </c>
    </row>
    <row r="297" spans="1:13" x14ac:dyDescent="0.3">
      <c r="A297" t="s">
        <v>240</v>
      </c>
      <c r="B297" t="s">
        <v>145</v>
      </c>
      <c r="C297">
        <v>200</v>
      </c>
      <c r="D297" t="s">
        <v>60</v>
      </c>
      <c r="E297" t="s">
        <v>65</v>
      </c>
      <c r="F297" t="s">
        <v>103</v>
      </c>
    </row>
    <row r="298" spans="1:13" x14ac:dyDescent="0.3">
      <c r="A298" t="s">
        <v>240</v>
      </c>
      <c r="B298" t="s">
        <v>76</v>
      </c>
      <c r="C298">
        <v>500</v>
      </c>
      <c r="D298" t="s">
        <v>31</v>
      </c>
      <c r="E298" t="s">
        <v>61</v>
      </c>
      <c r="F298">
        <v>15</v>
      </c>
      <c r="G298" t="s">
        <v>74</v>
      </c>
      <c r="M298" s="1"/>
    </row>
    <row r="299" spans="1:13" x14ac:dyDescent="0.3">
      <c r="A299" t="s">
        <v>240</v>
      </c>
      <c r="B299" t="s">
        <v>172</v>
      </c>
      <c r="C299">
        <v>160</v>
      </c>
      <c r="D299" t="s">
        <v>31</v>
      </c>
      <c r="E299" t="s">
        <v>70</v>
      </c>
      <c r="F299" t="s">
        <v>106</v>
      </c>
    </row>
    <row r="300" spans="1:13" x14ac:dyDescent="0.3">
      <c r="A300" t="s">
        <v>240</v>
      </c>
      <c r="B300" t="s">
        <v>174</v>
      </c>
      <c r="C300">
        <v>380</v>
      </c>
      <c r="D300" t="s">
        <v>60</v>
      </c>
      <c r="E300" t="s">
        <v>65</v>
      </c>
      <c r="F300" t="s">
        <v>123</v>
      </c>
    </row>
    <row r="301" spans="1:13" x14ac:dyDescent="0.3">
      <c r="A301" t="s">
        <v>240</v>
      </c>
      <c r="B301" t="s">
        <v>176</v>
      </c>
      <c r="C301">
        <v>200</v>
      </c>
      <c r="D301" t="s">
        <v>31</v>
      </c>
      <c r="E301" t="s">
        <v>65</v>
      </c>
      <c r="F301">
        <v>10</v>
      </c>
      <c r="G301" t="s">
        <v>126</v>
      </c>
      <c r="M301" s="1"/>
    </row>
    <row r="302" spans="1:13" x14ac:dyDescent="0.3">
      <c r="A302" t="s">
        <v>240</v>
      </c>
      <c r="B302" t="s">
        <v>178</v>
      </c>
      <c r="C302">
        <v>140</v>
      </c>
      <c r="D302" t="s">
        <v>60</v>
      </c>
      <c r="E302" t="s">
        <v>61</v>
      </c>
      <c r="F302" t="s">
        <v>80</v>
      </c>
    </row>
    <row r="303" spans="1:13" x14ac:dyDescent="0.3">
      <c r="A303" t="s">
        <v>240</v>
      </c>
      <c r="B303" t="s">
        <v>90</v>
      </c>
      <c r="C303">
        <v>100</v>
      </c>
      <c r="D303" t="s">
        <v>31</v>
      </c>
      <c r="E303" t="s">
        <v>65</v>
      </c>
      <c r="F303" t="s">
        <v>86</v>
      </c>
    </row>
    <row r="304" spans="1:13" x14ac:dyDescent="0.3">
      <c r="A304" t="s">
        <v>240</v>
      </c>
      <c r="B304" t="s">
        <v>73</v>
      </c>
      <c r="C304" t="s">
        <v>31</v>
      </c>
      <c r="D304" t="s">
        <v>65</v>
      </c>
      <c r="E304" t="s">
        <v>151</v>
      </c>
    </row>
    <row r="305" spans="1:13" x14ac:dyDescent="0.3">
      <c r="A305" t="s">
        <v>240</v>
      </c>
      <c r="B305" t="s">
        <v>161</v>
      </c>
      <c r="C305">
        <v>500</v>
      </c>
      <c r="D305" t="s">
        <v>60</v>
      </c>
      <c r="E305" t="s">
        <v>61</v>
      </c>
      <c r="F305">
        <v>0</v>
      </c>
      <c r="G305" t="s">
        <v>115</v>
      </c>
    </row>
    <row r="306" spans="1:13" x14ac:dyDescent="0.3">
      <c r="A306" t="s">
        <v>240</v>
      </c>
      <c r="B306" t="s">
        <v>163</v>
      </c>
      <c r="C306">
        <v>220</v>
      </c>
      <c r="D306" t="s">
        <v>31</v>
      </c>
      <c r="E306" t="s">
        <v>70</v>
      </c>
      <c r="F306">
        <v>0</v>
      </c>
      <c r="G306" t="s">
        <v>71</v>
      </c>
    </row>
    <row r="307" spans="1:13" x14ac:dyDescent="0.3">
      <c r="A307" t="s">
        <v>240</v>
      </c>
      <c r="B307" t="s">
        <v>166</v>
      </c>
      <c r="C307">
        <v>180</v>
      </c>
      <c r="D307" t="s">
        <v>60</v>
      </c>
      <c r="E307" t="s">
        <v>65</v>
      </c>
      <c r="F307">
        <v>0</v>
      </c>
      <c r="G307" t="s">
        <v>74</v>
      </c>
    </row>
    <row r="308" spans="1:13" x14ac:dyDescent="0.3">
      <c r="A308" t="s">
        <v>240</v>
      </c>
      <c r="B308" t="s">
        <v>168</v>
      </c>
      <c r="C308">
        <v>280</v>
      </c>
      <c r="D308" t="s">
        <v>31</v>
      </c>
      <c r="E308" t="s">
        <v>61</v>
      </c>
      <c r="F308" t="s">
        <v>77</v>
      </c>
    </row>
    <row r="309" spans="1:13" x14ac:dyDescent="0.3">
      <c r="A309" t="s">
        <v>240</v>
      </c>
      <c r="B309" t="s">
        <v>76</v>
      </c>
      <c r="C309">
        <v>500</v>
      </c>
      <c r="D309" t="s">
        <v>60</v>
      </c>
      <c r="E309" t="s">
        <v>65</v>
      </c>
      <c r="F309" t="s">
        <v>80</v>
      </c>
    </row>
    <row r="310" spans="1:13" x14ac:dyDescent="0.3">
      <c r="A310" t="s">
        <v>240</v>
      </c>
      <c r="B310" t="s">
        <v>172</v>
      </c>
      <c r="C310">
        <v>160</v>
      </c>
      <c r="D310" t="s">
        <v>31</v>
      </c>
      <c r="E310" t="s">
        <v>70</v>
      </c>
      <c r="F310">
        <v>15</v>
      </c>
      <c r="G310" t="s">
        <v>126</v>
      </c>
    </row>
    <row r="311" spans="1:13" x14ac:dyDescent="0.3">
      <c r="A311" t="s">
        <v>240</v>
      </c>
      <c r="B311" t="s">
        <v>188</v>
      </c>
      <c r="C311" t="s">
        <v>60</v>
      </c>
      <c r="D311" t="s">
        <v>61</v>
      </c>
      <c r="E311" t="s">
        <v>86</v>
      </c>
      <c r="M311" s="1"/>
    </row>
    <row r="312" spans="1:13" x14ac:dyDescent="0.3">
      <c r="A312" t="s">
        <v>240</v>
      </c>
      <c r="B312" t="s">
        <v>190</v>
      </c>
      <c r="C312" t="s">
        <v>31</v>
      </c>
      <c r="D312" t="s">
        <v>65</v>
      </c>
      <c r="E312">
        <v>0</v>
      </c>
      <c r="F312" t="s">
        <v>71</v>
      </c>
    </row>
    <row r="313" spans="1:13" x14ac:dyDescent="0.3">
      <c r="A313" t="s">
        <v>240</v>
      </c>
      <c r="B313" t="s">
        <v>178</v>
      </c>
      <c r="C313">
        <v>140</v>
      </c>
      <c r="D313" t="s">
        <v>60</v>
      </c>
      <c r="E313" t="s">
        <v>65</v>
      </c>
      <c r="F313">
        <v>20</v>
      </c>
      <c r="G313" t="s">
        <v>74</v>
      </c>
      <c r="M313" s="1"/>
    </row>
    <row r="314" spans="1:13" x14ac:dyDescent="0.3">
      <c r="A314" t="s">
        <v>240</v>
      </c>
      <c r="B314" t="s">
        <v>90</v>
      </c>
      <c r="C314">
        <v>100</v>
      </c>
      <c r="D314" t="s">
        <v>31</v>
      </c>
      <c r="E314" t="s">
        <v>70</v>
      </c>
      <c r="F314">
        <v>0</v>
      </c>
      <c r="G314" t="s">
        <v>93</v>
      </c>
    </row>
    <row r="315" spans="1:13" x14ac:dyDescent="0.3">
      <c r="A315" t="s">
        <v>240</v>
      </c>
      <c r="B315" t="s">
        <v>92</v>
      </c>
      <c r="C315">
        <v>320</v>
      </c>
      <c r="D315" t="s">
        <v>60</v>
      </c>
      <c r="E315" t="s">
        <v>61</v>
      </c>
      <c r="F315" t="s">
        <v>62</v>
      </c>
    </row>
    <row r="316" spans="1:13" x14ac:dyDescent="0.3">
      <c r="A316" t="s">
        <v>240</v>
      </c>
      <c r="B316" t="s">
        <v>95</v>
      </c>
      <c r="C316">
        <v>350</v>
      </c>
      <c r="D316" t="s">
        <v>31</v>
      </c>
      <c r="E316" t="s">
        <v>65</v>
      </c>
      <c r="F316">
        <v>25</v>
      </c>
      <c r="G316" t="s">
        <v>195</v>
      </c>
    </row>
    <row r="317" spans="1:13" x14ac:dyDescent="0.3">
      <c r="A317" t="s">
        <v>240</v>
      </c>
      <c r="B317" t="s">
        <v>98</v>
      </c>
      <c r="C317" t="s">
        <v>60</v>
      </c>
      <c r="D317" t="s">
        <v>65</v>
      </c>
      <c r="E317" t="s">
        <v>86</v>
      </c>
      <c r="M317" s="1"/>
    </row>
    <row r="318" spans="1:13" x14ac:dyDescent="0.3">
      <c r="A318" t="s">
        <v>240</v>
      </c>
      <c r="B318" t="s">
        <v>198</v>
      </c>
      <c r="C318">
        <v>300</v>
      </c>
      <c r="D318" t="s">
        <v>31</v>
      </c>
      <c r="E318" t="s">
        <v>61</v>
      </c>
      <c r="F318" t="s">
        <v>103</v>
      </c>
    </row>
    <row r="319" spans="1:13" x14ac:dyDescent="0.3">
      <c r="A319" t="s">
        <v>240</v>
      </c>
      <c r="B319" t="s">
        <v>102</v>
      </c>
      <c r="C319">
        <v>150</v>
      </c>
      <c r="D319" t="s">
        <v>60</v>
      </c>
      <c r="E319" t="s">
        <v>65</v>
      </c>
      <c r="F319">
        <v>10</v>
      </c>
      <c r="G319" t="s">
        <v>74</v>
      </c>
    </row>
    <row r="320" spans="1:13" x14ac:dyDescent="0.3">
      <c r="A320" t="s">
        <v>240</v>
      </c>
      <c r="B320" t="s">
        <v>201</v>
      </c>
      <c r="C320">
        <v>400</v>
      </c>
      <c r="D320" t="s">
        <v>31</v>
      </c>
      <c r="E320" t="s">
        <v>70</v>
      </c>
      <c r="F320">
        <v>0</v>
      </c>
      <c r="G320" t="s">
        <v>93</v>
      </c>
    </row>
    <row r="321" spans="1:13" x14ac:dyDescent="0.3">
      <c r="A321" t="s">
        <v>240</v>
      </c>
      <c r="B321" t="s">
        <v>108</v>
      </c>
      <c r="C321">
        <v>250</v>
      </c>
      <c r="D321" t="s">
        <v>60</v>
      </c>
      <c r="E321" t="s">
        <v>61</v>
      </c>
      <c r="F321" t="s">
        <v>62</v>
      </c>
    </row>
    <row r="322" spans="1:13" x14ac:dyDescent="0.3">
      <c r="A322" t="s">
        <v>240</v>
      </c>
      <c r="B322" t="s">
        <v>110</v>
      </c>
      <c r="C322">
        <v>150</v>
      </c>
      <c r="D322" t="s">
        <v>31</v>
      </c>
      <c r="E322" t="s">
        <v>65</v>
      </c>
      <c r="F322" t="s">
        <v>204</v>
      </c>
    </row>
    <row r="323" spans="1:13" x14ac:dyDescent="0.3">
      <c r="A323" t="s">
        <v>240</v>
      </c>
      <c r="B323" t="s">
        <v>112</v>
      </c>
      <c r="C323">
        <v>300</v>
      </c>
      <c r="D323" t="s">
        <v>60</v>
      </c>
      <c r="E323" t="s">
        <v>65</v>
      </c>
      <c r="F323">
        <v>0</v>
      </c>
      <c r="G323" t="s">
        <v>115</v>
      </c>
      <c r="M323" s="1"/>
    </row>
    <row r="324" spans="1:13" x14ac:dyDescent="0.3">
      <c r="A324" t="s">
        <v>240</v>
      </c>
      <c r="B324" t="s">
        <v>207</v>
      </c>
      <c r="C324">
        <v>180</v>
      </c>
      <c r="D324" t="s">
        <v>31</v>
      </c>
      <c r="E324" t="s">
        <v>61</v>
      </c>
      <c r="F324" t="s">
        <v>103</v>
      </c>
    </row>
    <row r="325" spans="1:13" x14ac:dyDescent="0.3">
      <c r="A325" t="s">
        <v>240</v>
      </c>
      <c r="B325" t="s">
        <v>117</v>
      </c>
      <c r="C325">
        <v>90</v>
      </c>
      <c r="D325" t="s">
        <v>60</v>
      </c>
      <c r="E325" t="s">
        <v>65</v>
      </c>
      <c r="F325" t="s">
        <v>120</v>
      </c>
    </row>
    <row r="326" spans="1:13" x14ac:dyDescent="0.3">
      <c r="A326" t="s">
        <v>240</v>
      </c>
      <c r="B326" t="s">
        <v>119</v>
      </c>
      <c r="C326">
        <v>320</v>
      </c>
      <c r="D326" t="s">
        <v>31</v>
      </c>
      <c r="E326" t="s">
        <v>70</v>
      </c>
      <c r="F326">
        <v>0</v>
      </c>
      <c r="G326" t="s">
        <v>93</v>
      </c>
    </row>
    <row r="327" spans="1:13" x14ac:dyDescent="0.3">
      <c r="A327" t="s">
        <v>240</v>
      </c>
      <c r="B327" t="s">
        <v>122</v>
      </c>
      <c r="C327">
        <v>120</v>
      </c>
      <c r="D327" t="s">
        <v>60</v>
      </c>
      <c r="E327" t="s">
        <v>65</v>
      </c>
      <c r="F327">
        <v>0</v>
      </c>
      <c r="G327" t="s">
        <v>126</v>
      </c>
      <c r="M327" s="1"/>
    </row>
    <row r="328" spans="1:13" x14ac:dyDescent="0.3">
      <c r="A328" t="s">
        <v>240</v>
      </c>
      <c r="B328" t="s">
        <v>212</v>
      </c>
      <c r="C328">
        <v>450</v>
      </c>
      <c r="D328" t="s">
        <v>31</v>
      </c>
      <c r="E328" t="s">
        <v>61</v>
      </c>
      <c r="F328">
        <v>10</v>
      </c>
      <c r="G328" t="s">
        <v>195</v>
      </c>
    </row>
    <row r="329" spans="1:13" x14ac:dyDescent="0.3">
      <c r="A329" t="s">
        <v>240</v>
      </c>
      <c r="B329" t="s">
        <v>128</v>
      </c>
      <c r="C329">
        <v>260</v>
      </c>
      <c r="D329" t="s">
        <v>60</v>
      </c>
      <c r="E329" t="s">
        <v>61</v>
      </c>
      <c r="F329" t="s">
        <v>86</v>
      </c>
    </row>
    <row r="330" spans="1:13" x14ac:dyDescent="0.3">
      <c r="A330" t="s">
        <v>240</v>
      </c>
      <c r="B330" t="s">
        <v>130</v>
      </c>
      <c r="C330">
        <v>300</v>
      </c>
      <c r="D330" t="s">
        <v>31</v>
      </c>
      <c r="E330" t="s">
        <v>70</v>
      </c>
      <c r="F330" t="s">
        <v>103</v>
      </c>
    </row>
    <row r="331" spans="1:13" x14ac:dyDescent="0.3">
      <c r="A331" t="s">
        <v>240</v>
      </c>
      <c r="B331" t="s">
        <v>132</v>
      </c>
      <c r="C331">
        <v>200</v>
      </c>
      <c r="D331" t="s">
        <v>60</v>
      </c>
      <c r="E331" t="s">
        <v>65</v>
      </c>
      <c r="F331">
        <v>25</v>
      </c>
      <c r="G331" t="s">
        <v>74</v>
      </c>
      <c r="M331" s="1"/>
    </row>
    <row r="332" spans="1:13" x14ac:dyDescent="0.3">
      <c r="A332" t="s">
        <v>240</v>
      </c>
      <c r="B332" t="s">
        <v>134</v>
      </c>
      <c r="C332">
        <v>240</v>
      </c>
      <c r="D332" t="s">
        <v>31</v>
      </c>
      <c r="E332" t="s">
        <v>65</v>
      </c>
      <c r="F332">
        <v>0</v>
      </c>
      <c r="G332" t="s">
        <v>93</v>
      </c>
    </row>
    <row r="333" spans="1:13" x14ac:dyDescent="0.3">
      <c r="A333" t="s">
        <v>240</v>
      </c>
      <c r="B333" t="s">
        <v>136</v>
      </c>
      <c r="C333">
        <v>320</v>
      </c>
      <c r="D333" t="s">
        <v>60</v>
      </c>
      <c r="E333" t="s">
        <v>61</v>
      </c>
      <c r="F333" t="s">
        <v>62</v>
      </c>
    </row>
    <row r="334" spans="1:13" x14ac:dyDescent="0.3">
      <c r="A334" t="s">
        <v>240</v>
      </c>
      <c r="B334" t="s">
        <v>138</v>
      </c>
      <c r="C334">
        <v>200</v>
      </c>
      <c r="D334" t="s">
        <v>31</v>
      </c>
      <c r="E334" t="s">
        <v>65</v>
      </c>
      <c r="F334" t="s">
        <v>80</v>
      </c>
    </row>
    <row r="335" spans="1:13" x14ac:dyDescent="0.3">
      <c r="A335" t="s">
        <v>240</v>
      </c>
      <c r="B335" t="s">
        <v>140</v>
      </c>
      <c r="C335">
        <v>250</v>
      </c>
      <c r="D335" t="s">
        <v>60</v>
      </c>
      <c r="E335" t="s">
        <v>70</v>
      </c>
      <c r="F335" t="s">
        <v>220</v>
      </c>
    </row>
    <row r="336" spans="1:13" x14ac:dyDescent="0.3">
      <c r="A336" t="s">
        <v>240</v>
      </c>
      <c r="B336" t="s">
        <v>143</v>
      </c>
      <c r="C336">
        <v>180</v>
      </c>
      <c r="D336" t="s">
        <v>31</v>
      </c>
      <c r="E336" t="s">
        <v>65</v>
      </c>
      <c r="F336" t="s">
        <v>103</v>
      </c>
    </row>
    <row r="337" spans="1:13" x14ac:dyDescent="0.3">
      <c r="A337" t="s">
        <v>240</v>
      </c>
      <c r="B337" t="s">
        <v>145</v>
      </c>
      <c r="C337">
        <v>200</v>
      </c>
      <c r="D337" t="s">
        <v>60</v>
      </c>
      <c r="E337" t="s">
        <v>61</v>
      </c>
      <c r="F337">
        <v>0</v>
      </c>
      <c r="G337" t="s">
        <v>74</v>
      </c>
      <c r="M337" s="1"/>
    </row>
    <row r="338" spans="1:13" x14ac:dyDescent="0.3">
      <c r="A338" t="s">
        <v>240</v>
      </c>
      <c r="B338" t="s">
        <v>76</v>
      </c>
      <c r="C338">
        <v>500</v>
      </c>
      <c r="D338" t="s">
        <v>31</v>
      </c>
      <c r="E338" t="s">
        <v>65</v>
      </c>
      <c r="F338">
        <v>30</v>
      </c>
      <c r="G338" t="s">
        <v>93</v>
      </c>
    </row>
    <row r="339" spans="1:13" x14ac:dyDescent="0.3">
      <c r="A339" t="s">
        <v>240</v>
      </c>
      <c r="B339" t="s">
        <v>148</v>
      </c>
      <c r="C339">
        <v>180</v>
      </c>
      <c r="D339" t="s">
        <v>60</v>
      </c>
      <c r="E339" t="s">
        <v>65</v>
      </c>
      <c r="F339" t="s">
        <v>62</v>
      </c>
    </row>
    <row r="340" spans="1:13" x14ac:dyDescent="0.3">
      <c r="A340" t="s">
        <v>240</v>
      </c>
      <c r="B340" t="s">
        <v>150</v>
      </c>
      <c r="C340">
        <v>450</v>
      </c>
      <c r="D340" t="s">
        <v>31</v>
      </c>
      <c r="E340" t="s">
        <v>70</v>
      </c>
      <c r="F340" t="s">
        <v>80</v>
      </c>
    </row>
    <row r="341" spans="1:13" x14ac:dyDescent="0.3">
      <c r="A341" t="s">
        <v>240</v>
      </c>
      <c r="B341" t="s">
        <v>95</v>
      </c>
      <c r="C341">
        <v>300</v>
      </c>
      <c r="D341" t="s">
        <v>60</v>
      </c>
      <c r="E341" t="s">
        <v>61</v>
      </c>
      <c r="F341">
        <v>10</v>
      </c>
      <c r="G341" t="s">
        <v>115</v>
      </c>
      <c r="M341" s="1"/>
    </row>
    <row r="342" spans="1:13" x14ac:dyDescent="0.3">
      <c r="A342" t="s">
        <v>240</v>
      </c>
      <c r="B342" t="s">
        <v>154</v>
      </c>
      <c r="C342">
        <v>260</v>
      </c>
      <c r="D342" t="s">
        <v>31</v>
      </c>
      <c r="E342" t="s">
        <v>61</v>
      </c>
      <c r="F342" t="s">
        <v>103</v>
      </c>
    </row>
    <row r="343" spans="1:13" x14ac:dyDescent="0.3">
      <c r="A343" t="s">
        <v>240</v>
      </c>
      <c r="B343" t="s">
        <v>156</v>
      </c>
      <c r="C343">
        <v>350</v>
      </c>
      <c r="D343" t="s">
        <v>60</v>
      </c>
      <c r="E343" t="s">
        <v>65</v>
      </c>
      <c r="F343" t="s">
        <v>106</v>
      </c>
    </row>
    <row r="344" spans="1:13" x14ac:dyDescent="0.3">
      <c r="A344" t="s">
        <v>240</v>
      </c>
      <c r="B344" t="s">
        <v>159</v>
      </c>
      <c r="C344">
        <v>420</v>
      </c>
      <c r="D344" t="s">
        <v>31</v>
      </c>
      <c r="E344" t="s">
        <v>70</v>
      </c>
      <c r="F344" t="s">
        <v>230</v>
      </c>
    </row>
    <row r="345" spans="1:13" x14ac:dyDescent="0.3">
      <c r="A345" t="s">
        <v>240</v>
      </c>
      <c r="B345" t="s">
        <v>161</v>
      </c>
      <c r="C345">
        <v>500</v>
      </c>
      <c r="D345" t="s">
        <v>60</v>
      </c>
      <c r="E345" t="s">
        <v>61</v>
      </c>
      <c r="F345" t="s">
        <v>62</v>
      </c>
    </row>
    <row r="346" spans="1:13" x14ac:dyDescent="0.3">
      <c r="A346" t="s">
        <v>240</v>
      </c>
      <c r="B346" t="s">
        <v>163</v>
      </c>
      <c r="C346">
        <v>220</v>
      </c>
      <c r="D346" t="s">
        <v>31</v>
      </c>
      <c r="E346" t="s">
        <v>65</v>
      </c>
      <c r="F346" t="s">
        <v>80</v>
      </c>
    </row>
    <row r="347" spans="1:13" x14ac:dyDescent="0.3">
      <c r="A347" t="s">
        <v>240</v>
      </c>
      <c r="B347" t="s">
        <v>166</v>
      </c>
      <c r="C347">
        <v>180</v>
      </c>
      <c r="D347" t="s">
        <v>60</v>
      </c>
      <c r="E347" t="s">
        <v>70</v>
      </c>
      <c r="F347">
        <v>15</v>
      </c>
      <c r="G347" t="s">
        <v>115</v>
      </c>
      <c r="M347" s="1"/>
    </row>
    <row r="348" spans="1:13" x14ac:dyDescent="0.3">
      <c r="A348" t="s">
        <v>240</v>
      </c>
      <c r="B348" t="s">
        <v>168</v>
      </c>
      <c r="C348">
        <v>280</v>
      </c>
      <c r="D348" t="s">
        <v>31</v>
      </c>
      <c r="E348" t="s">
        <v>61</v>
      </c>
      <c r="F348" t="s">
        <v>103</v>
      </c>
    </row>
    <row r="349" spans="1:13" x14ac:dyDescent="0.3">
      <c r="A349" t="s">
        <v>240</v>
      </c>
      <c r="B349" t="s">
        <v>76</v>
      </c>
      <c r="C349">
        <v>500</v>
      </c>
      <c r="D349" t="s">
        <v>60</v>
      </c>
      <c r="E349" t="s">
        <v>65</v>
      </c>
      <c r="F349" t="s">
        <v>106</v>
      </c>
    </row>
    <row r="350" spans="1:13" x14ac:dyDescent="0.3">
      <c r="A350" t="s">
        <v>240</v>
      </c>
      <c r="B350" t="s">
        <v>172</v>
      </c>
      <c r="C350">
        <v>160</v>
      </c>
      <c r="D350" t="s">
        <v>31</v>
      </c>
      <c r="E350" t="s">
        <v>70</v>
      </c>
      <c r="F350" t="s">
        <v>123</v>
      </c>
    </row>
    <row r="351" spans="1:13" x14ac:dyDescent="0.3">
      <c r="A351" t="s">
        <v>240</v>
      </c>
      <c r="B351" t="s">
        <v>174</v>
      </c>
      <c r="C351">
        <v>380</v>
      </c>
      <c r="D351" t="s">
        <v>60</v>
      </c>
      <c r="E351" t="s">
        <v>65</v>
      </c>
      <c r="F351">
        <v>10</v>
      </c>
      <c r="G351" t="s">
        <v>126</v>
      </c>
      <c r="M351" s="1"/>
    </row>
    <row r="352" spans="1:13" x14ac:dyDescent="0.3">
      <c r="A352" t="s">
        <v>240</v>
      </c>
      <c r="B352" t="s">
        <v>176</v>
      </c>
      <c r="C352">
        <v>200</v>
      </c>
      <c r="D352" t="s">
        <v>31</v>
      </c>
      <c r="E352" t="s">
        <v>61</v>
      </c>
      <c r="F352" t="s">
        <v>80</v>
      </c>
    </row>
    <row r="353" spans="1:13" x14ac:dyDescent="0.3">
      <c r="A353" t="s">
        <v>240</v>
      </c>
      <c r="B353" t="s">
        <v>178</v>
      </c>
      <c r="C353">
        <v>140</v>
      </c>
      <c r="D353" t="s">
        <v>60</v>
      </c>
      <c r="E353" t="s">
        <v>65</v>
      </c>
      <c r="F353" t="s">
        <v>86</v>
      </c>
    </row>
    <row r="354" spans="1:13" x14ac:dyDescent="0.3">
      <c r="A354" t="s">
        <v>240</v>
      </c>
      <c r="B354" t="s">
        <v>52</v>
      </c>
      <c r="C354" t="s">
        <v>53</v>
      </c>
    </row>
    <row r="355" spans="1:13" x14ac:dyDescent="0.3">
      <c r="A355" t="s">
        <v>240</v>
      </c>
      <c r="B355" t="s">
        <v>55</v>
      </c>
      <c r="C355" t="s">
        <v>56</v>
      </c>
      <c r="D355">
        <v>30</v>
      </c>
      <c r="E355" t="s">
        <v>57</v>
      </c>
      <c r="M355" s="1"/>
    </row>
    <row r="356" spans="1:13" x14ac:dyDescent="0.3">
      <c r="A356" t="s">
        <v>240</v>
      </c>
      <c r="B356" t="s">
        <v>59</v>
      </c>
      <c r="C356" t="s">
        <v>60</v>
      </c>
      <c r="D356" t="s">
        <v>61</v>
      </c>
      <c r="E356" t="s">
        <v>62</v>
      </c>
    </row>
    <row r="357" spans="1:13" x14ac:dyDescent="0.3">
      <c r="A357" t="s">
        <v>240</v>
      </c>
      <c r="B357" t="s">
        <v>64</v>
      </c>
      <c r="C357" t="s">
        <v>31</v>
      </c>
      <c r="D357" t="s">
        <v>65</v>
      </c>
      <c r="E357" t="s">
        <v>66</v>
      </c>
    </row>
    <row r="358" spans="1:13" x14ac:dyDescent="0.3">
      <c r="A358" t="s">
        <v>240</v>
      </c>
      <c r="B358" t="s">
        <v>68</v>
      </c>
      <c r="C358" t="s">
        <v>69</v>
      </c>
      <c r="D358" t="s">
        <v>60</v>
      </c>
      <c r="E358" t="s">
        <v>70</v>
      </c>
      <c r="F358">
        <v>0</v>
      </c>
      <c r="G358" t="s">
        <v>71</v>
      </c>
    </row>
    <row r="359" spans="1:13" x14ac:dyDescent="0.3">
      <c r="A359" t="s">
        <v>240</v>
      </c>
      <c r="B359" t="s">
        <v>73</v>
      </c>
      <c r="C359" t="s">
        <v>31</v>
      </c>
      <c r="D359" t="s">
        <v>65</v>
      </c>
      <c r="E359">
        <v>0</v>
      </c>
      <c r="F359" t="s">
        <v>74</v>
      </c>
      <c r="M359" s="1"/>
    </row>
    <row r="360" spans="1:13" x14ac:dyDescent="0.3">
      <c r="A360" t="s">
        <v>240</v>
      </c>
      <c r="B360" t="s">
        <v>76</v>
      </c>
      <c r="C360">
        <v>500</v>
      </c>
      <c r="D360" t="s">
        <v>60</v>
      </c>
      <c r="E360" t="s">
        <v>61</v>
      </c>
      <c r="F360" t="s">
        <v>77</v>
      </c>
    </row>
    <row r="361" spans="1:13" x14ac:dyDescent="0.3">
      <c r="A361" t="s">
        <v>240</v>
      </c>
      <c r="B361" t="s">
        <v>79</v>
      </c>
      <c r="C361">
        <v>1</v>
      </c>
      <c r="D361">
        <v>160</v>
      </c>
      <c r="E361" t="s">
        <v>31</v>
      </c>
      <c r="F361" t="s">
        <v>70</v>
      </c>
      <c r="G361" t="s">
        <v>80</v>
      </c>
    </row>
    <row r="362" spans="1:13" x14ac:dyDescent="0.3">
      <c r="A362" t="s">
        <v>240</v>
      </c>
      <c r="B362" t="s">
        <v>82</v>
      </c>
      <c r="C362" t="s">
        <v>60</v>
      </c>
      <c r="D362" t="s">
        <v>65</v>
      </c>
      <c r="E362" t="s">
        <v>83</v>
      </c>
    </row>
    <row r="363" spans="1:13" x14ac:dyDescent="0.3">
      <c r="A363" t="s">
        <v>240</v>
      </c>
      <c r="B363" t="s">
        <v>85</v>
      </c>
      <c r="C363" t="s">
        <v>31</v>
      </c>
      <c r="D363" t="s">
        <v>61</v>
      </c>
      <c r="E363" t="s">
        <v>86</v>
      </c>
      <c r="M363" s="1"/>
    </row>
    <row r="364" spans="1:13" x14ac:dyDescent="0.3">
      <c r="A364" t="s">
        <v>240</v>
      </c>
      <c r="B364" t="s">
        <v>88</v>
      </c>
      <c r="C364" t="s">
        <v>60</v>
      </c>
      <c r="D364" t="s">
        <v>65</v>
      </c>
      <c r="E364">
        <v>0</v>
      </c>
      <c r="F364" t="s">
        <v>71</v>
      </c>
    </row>
    <row r="365" spans="1:13" x14ac:dyDescent="0.3">
      <c r="A365" t="s">
        <v>240</v>
      </c>
      <c r="B365" t="s">
        <v>90</v>
      </c>
      <c r="C365">
        <v>100</v>
      </c>
      <c r="D365" t="s">
        <v>31</v>
      </c>
      <c r="E365" t="s">
        <v>70</v>
      </c>
      <c r="F365">
        <v>10</v>
      </c>
      <c r="G365" t="s">
        <v>74</v>
      </c>
      <c r="M365" s="1"/>
    </row>
    <row r="366" spans="1:13" x14ac:dyDescent="0.3">
      <c r="A366" t="s">
        <v>240</v>
      </c>
      <c r="B366" t="s">
        <v>92</v>
      </c>
      <c r="C366">
        <v>320</v>
      </c>
      <c r="D366" t="s">
        <v>60</v>
      </c>
      <c r="E366" t="s">
        <v>65</v>
      </c>
      <c r="F366">
        <v>0</v>
      </c>
      <c r="G366" t="s">
        <v>93</v>
      </c>
    </row>
    <row r="367" spans="1:13" x14ac:dyDescent="0.3">
      <c r="A367" t="s">
        <v>240</v>
      </c>
      <c r="B367" t="s">
        <v>95</v>
      </c>
      <c r="C367">
        <v>350</v>
      </c>
      <c r="D367" t="s">
        <v>31</v>
      </c>
      <c r="E367" t="s">
        <v>61</v>
      </c>
      <c r="F367" t="s">
        <v>96</v>
      </c>
    </row>
    <row r="368" spans="1:13" x14ac:dyDescent="0.3">
      <c r="A368" t="s">
        <v>240</v>
      </c>
      <c r="B368" t="s">
        <v>98</v>
      </c>
      <c r="C368" t="s">
        <v>60</v>
      </c>
      <c r="D368" t="s">
        <v>70</v>
      </c>
      <c r="E368" t="s">
        <v>80</v>
      </c>
    </row>
    <row r="369" spans="1:13" x14ac:dyDescent="0.3">
      <c r="A369" t="s">
        <v>240</v>
      </c>
      <c r="B369" t="s">
        <v>100</v>
      </c>
      <c r="C369" t="s">
        <v>31</v>
      </c>
      <c r="D369" t="s">
        <v>65</v>
      </c>
      <c r="E369" t="s">
        <v>66</v>
      </c>
      <c r="M369" s="1"/>
    </row>
    <row r="370" spans="1:13" x14ac:dyDescent="0.3">
      <c r="A370" t="s">
        <v>240</v>
      </c>
      <c r="B370" t="s">
        <v>102</v>
      </c>
      <c r="C370">
        <v>150</v>
      </c>
      <c r="D370" t="s">
        <v>60</v>
      </c>
      <c r="E370" t="s">
        <v>61</v>
      </c>
      <c r="F370" t="s">
        <v>103</v>
      </c>
    </row>
    <row r="371" spans="1:13" x14ac:dyDescent="0.3">
      <c r="A371" t="s">
        <v>240</v>
      </c>
      <c r="B371" t="s">
        <v>105</v>
      </c>
      <c r="C371" t="s">
        <v>31</v>
      </c>
      <c r="D371" t="s">
        <v>65</v>
      </c>
      <c r="E371" t="s">
        <v>106</v>
      </c>
    </row>
    <row r="372" spans="1:13" x14ac:dyDescent="0.3">
      <c r="A372" t="s">
        <v>240</v>
      </c>
      <c r="B372" t="s">
        <v>108</v>
      </c>
      <c r="C372">
        <v>250</v>
      </c>
      <c r="D372" t="s">
        <v>60</v>
      </c>
      <c r="E372" t="s">
        <v>61</v>
      </c>
      <c r="F372">
        <v>30</v>
      </c>
      <c r="G372" t="s">
        <v>93</v>
      </c>
    </row>
    <row r="373" spans="1:13" x14ac:dyDescent="0.3">
      <c r="A373" t="s">
        <v>240</v>
      </c>
      <c r="B373" t="s">
        <v>110</v>
      </c>
      <c r="C373">
        <v>150</v>
      </c>
      <c r="D373" t="s">
        <v>31</v>
      </c>
      <c r="E373" t="s">
        <v>70</v>
      </c>
      <c r="F373" t="s">
        <v>62</v>
      </c>
    </row>
    <row r="374" spans="1:13" x14ac:dyDescent="0.3">
      <c r="A374" t="s">
        <v>240</v>
      </c>
      <c r="B374" t="s">
        <v>112</v>
      </c>
      <c r="C374">
        <v>300</v>
      </c>
      <c r="D374" t="s">
        <v>60</v>
      </c>
      <c r="E374" t="s">
        <v>65</v>
      </c>
      <c r="F374" t="s">
        <v>80</v>
      </c>
    </row>
    <row r="375" spans="1:13" x14ac:dyDescent="0.3">
      <c r="A375" t="s">
        <v>240</v>
      </c>
      <c r="B375" t="s">
        <v>114</v>
      </c>
      <c r="C375">
        <v>3</v>
      </c>
      <c r="D375">
        <v>180</v>
      </c>
      <c r="E375" t="s">
        <v>31</v>
      </c>
      <c r="F375" t="s">
        <v>61</v>
      </c>
      <c r="G375">
        <v>10</v>
      </c>
      <c r="H375" t="s">
        <v>115</v>
      </c>
      <c r="M375" s="1"/>
    </row>
    <row r="376" spans="1:13" x14ac:dyDescent="0.3">
      <c r="A376" t="s">
        <v>240</v>
      </c>
      <c r="B376" t="s">
        <v>117</v>
      </c>
      <c r="C376">
        <v>90</v>
      </c>
      <c r="D376" t="s">
        <v>60</v>
      </c>
      <c r="E376" t="s">
        <v>65</v>
      </c>
      <c r="F376">
        <v>0</v>
      </c>
      <c r="G376" t="s">
        <v>71</v>
      </c>
    </row>
    <row r="377" spans="1:13" x14ac:dyDescent="0.3">
      <c r="A377" t="s">
        <v>240</v>
      </c>
      <c r="B377" t="s">
        <v>119</v>
      </c>
      <c r="C377">
        <v>320</v>
      </c>
      <c r="D377" t="s">
        <v>31</v>
      </c>
      <c r="E377" t="s">
        <v>70</v>
      </c>
      <c r="F377" t="s">
        <v>120</v>
      </c>
    </row>
    <row r="378" spans="1:13" x14ac:dyDescent="0.3">
      <c r="A378" t="s">
        <v>240</v>
      </c>
      <c r="B378" t="s">
        <v>122</v>
      </c>
      <c r="C378">
        <v>120</v>
      </c>
      <c r="D378" t="s">
        <v>60</v>
      </c>
      <c r="E378" t="s">
        <v>61</v>
      </c>
      <c r="F378" t="s">
        <v>123</v>
      </c>
    </row>
    <row r="379" spans="1:13" x14ac:dyDescent="0.3">
      <c r="A379" t="s">
        <v>240</v>
      </c>
      <c r="B379" t="s">
        <v>125</v>
      </c>
      <c r="C379">
        <v>1</v>
      </c>
      <c r="D379">
        <v>450</v>
      </c>
      <c r="E379" t="s">
        <v>31</v>
      </c>
      <c r="F379" t="s">
        <v>65</v>
      </c>
      <c r="G379">
        <v>15</v>
      </c>
      <c r="H379" t="s">
        <v>126</v>
      </c>
      <c r="M379" s="1"/>
    </row>
    <row r="380" spans="1:13" x14ac:dyDescent="0.3">
      <c r="A380" t="s">
        <v>240</v>
      </c>
      <c r="B380" t="s">
        <v>136</v>
      </c>
      <c r="C380">
        <v>320</v>
      </c>
      <c r="D380" t="s">
        <v>60</v>
      </c>
      <c r="E380" t="s">
        <v>61</v>
      </c>
      <c r="F380" t="s">
        <v>123</v>
      </c>
    </row>
    <row r="381" spans="1:13" x14ac:dyDescent="0.3">
      <c r="A381" t="s">
        <v>240</v>
      </c>
      <c r="B381" t="s">
        <v>138</v>
      </c>
      <c r="C381">
        <v>200</v>
      </c>
      <c r="D381" t="s">
        <v>31</v>
      </c>
      <c r="E381" t="s">
        <v>61</v>
      </c>
      <c r="F381" t="s">
        <v>62</v>
      </c>
    </row>
    <row r="382" spans="1:13" x14ac:dyDescent="0.3">
      <c r="A382" t="s">
        <v>240</v>
      </c>
      <c r="B382" t="s">
        <v>140</v>
      </c>
      <c r="C382">
        <v>250</v>
      </c>
      <c r="D382" t="s">
        <v>60</v>
      </c>
      <c r="E382" t="s">
        <v>65</v>
      </c>
      <c r="F382" t="s">
        <v>141</v>
      </c>
    </row>
    <row r="383" spans="1:13" x14ac:dyDescent="0.3">
      <c r="A383" t="s">
        <v>240</v>
      </c>
      <c r="B383" t="s">
        <v>143</v>
      </c>
      <c r="C383">
        <v>180</v>
      </c>
      <c r="D383" t="s">
        <v>31</v>
      </c>
      <c r="E383" t="s">
        <v>70</v>
      </c>
      <c r="F383" t="s">
        <v>86</v>
      </c>
    </row>
    <row r="384" spans="1:13" x14ac:dyDescent="0.3">
      <c r="A384" t="s">
        <v>240</v>
      </c>
      <c r="B384" t="s">
        <v>145</v>
      </c>
      <c r="C384">
        <v>200</v>
      </c>
      <c r="D384" t="s">
        <v>60</v>
      </c>
      <c r="E384" t="s">
        <v>65</v>
      </c>
      <c r="F384" t="s">
        <v>103</v>
      </c>
    </row>
    <row r="385" spans="1:13" x14ac:dyDescent="0.3">
      <c r="A385" t="s">
        <v>240</v>
      </c>
      <c r="B385" t="s">
        <v>76</v>
      </c>
      <c r="C385">
        <v>500</v>
      </c>
      <c r="D385" t="s">
        <v>31</v>
      </c>
      <c r="E385" t="s">
        <v>61</v>
      </c>
      <c r="F385">
        <v>15</v>
      </c>
      <c r="G385" t="s">
        <v>74</v>
      </c>
      <c r="M385" s="1"/>
    </row>
    <row r="386" spans="1:13" x14ac:dyDescent="0.3">
      <c r="A386" t="s">
        <v>240</v>
      </c>
      <c r="B386" t="s">
        <v>148</v>
      </c>
      <c r="C386">
        <v>180</v>
      </c>
      <c r="D386" t="s">
        <v>60</v>
      </c>
      <c r="E386" t="s">
        <v>65</v>
      </c>
      <c r="F386" t="s">
        <v>123</v>
      </c>
    </row>
    <row r="387" spans="1:13" x14ac:dyDescent="0.3">
      <c r="A387" t="s">
        <v>240</v>
      </c>
      <c r="B387" t="s">
        <v>150</v>
      </c>
      <c r="C387">
        <v>450</v>
      </c>
      <c r="D387" t="s">
        <v>31</v>
      </c>
      <c r="E387" t="s">
        <v>70</v>
      </c>
      <c r="F387" t="s">
        <v>151</v>
      </c>
    </row>
    <row r="388" spans="1:13" x14ac:dyDescent="0.3">
      <c r="A388" t="s">
        <v>240</v>
      </c>
      <c r="B388" t="s">
        <v>95</v>
      </c>
      <c r="C388">
        <v>300</v>
      </c>
      <c r="D388" t="s">
        <v>60</v>
      </c>
      <c r="E388" t="s">
        <v>61</v>
      </c>
      <c r="F388" t="s">
        <v>80</v>
      </c>
    </row>
    <row r="389" spans="1:13" x14ac:dyDescent="0.3">
      <c r="A389" t="s">
        <v>240</v>
      </c>
      <c r="B389" t="s">
        <v>154</v>
      </c>
      <c r="C389">
        <v>260</v>
      </c>
      <c r="D389" t="s">
        <v>31</v>
      </c>
      <c r="E389" t="s">
        <v>65</v>
      </c>
      <c r="F389" t="s">
        <v>86</v>
      </c>
    </row>
    <row r="390" spans="1:13" x14ac:dyDescent="0.3">
      <c r="A390" t="s">
        <v>240</v>
      </c>
      <c r="B390" t="s">
        <v>156</v>
      </c>
      <c r="C390">
        <v>350</v>
      </c>
      <c r="D390" t="s">
        <v>60</v>
      </c>
      <c r="E390" t="s">
        <v>61</v>
      </c>
      <c r="F390" t="s">
        <v>157</v>
      </c>
    </row>
    <row r="391" spans="1:13" x14ac:dyDescent="0.3">
      <c r="A391" t="s">
        <v>240</v>
      </c>
      <c r="B391" t="s">
        <v>159</v>
      </c>
      <c r="C391">
        <v>420</v>
      </c>
      <c r="D391" t="s">
        <v>31</v>
      </c>
      <c r="E391" t="s">
        <v>70</v>
      </c>
      <c r="F391">
        <v>0</v>
      </c>
      <c r="G391" t="s">
        <v>74</v>
      </c>
      <c r="M391" s="1"/>
    </row>
    <row r="392" spans="1:13" x14ac:dyDescent="0.3">
      <c r="A392" t="s">
        <v>240</v>
      </c>
      <c r="B392" t="s">
        <v>161</v>
      </c>
      <c r="C392">
        <v>500</v>
      </c>
      <c r="D392" t="s">
        <v>60</v>
      </c>
      <c r="E392" t="s">
        <v>65</v>
      </c>
      <c r="F392" t="s">
        <v>123</v>
      </c>
    </row>
    <row r="393" spans="1:13" x14ac:dyDescent="0.3">
      <c r="A393" t="s">
        <v>240</v>
      </c>
      <c r="B393" t="s">
        <v>163</v>
      </c>
      <c r="C393">
        <v>220</v>
      </c>
      <c r="D393" t="s">
        <v>31</v>
      </c>
      <c r="E393" t="s">
        <v>65</v>
      </c>
      <c r="F393" t="s">
        <v>164</v>
      </c>
    </row>
    <row r="394" spans="1:13" x14ac:dyDescent="0.3">
      <c r="A394" t="s">
        <v>240</v>
      </c>
      <c r="B394" t="s">
        <v>166</v>
      </c>
      <c r="C394">
        <v>180</v>
      </c>
      <c r="D394" t="s">
        <v>60</v>
      </c>
      <c r="E394" t="s">
        <v>70</v>
      </c>
      <c r="F394" t="s">
        <v>80</v>
      </c>
    </row>
    <row r="395" spans="1:13" x14ac:dyDescent="0.3">
      <c r="A395" t="s">
        <v>240</v>
      </c>
      <c r="B395" t="s">
        <v>168</v>
      </c>
      <c r="C395">
        <v>280</v>
      </c>
      <c r="D395" t="s">
        <v>31</v>
      </c>
      <c r="E395" t="s">
        <v>61</v>
      </c>
      <c r="F395">
        <v>0</v>
      </c>
      <c r="G395" t="s">
        <v>115</v>
      </c>
      <c r="M395" s="1"/>
    </row>
    <row r="396" spans="1:13" x14ac:dyDescent="0.3">
      <c r="A396" t="s">
        <v>240</v>
      </c>
      <c r="B396" t="s">
        <v>76</v>
      </c>
      <c r="C396">
        <v>500</v>
      </c>
      <c r="D396" t="s">
        <v>60</v>
      </c>
      <c r="E396" t="s">
        <v>61</v>
      </c>
      <c r="F396" t="s">
        <v>170</v>
      </c>
    </row>
    <row r="397" spans="1:13" x14ac:dyDescent="0.3">
      <c r="A397" t="s">
        <v>240</v>
      </c>
      <c r="B397" t="s">
        <v>172</v>
      </c>
      <c r="C397">
        <v>160</v>
      </c>
      <c r="D397" t="s">
        <v>31</v>
      </c>
      <c r="E397" t="s">
        <v>70</v>
      </c>
      <c r="F397" t="s">
        <v>106</v>
      </c>
    </row>
    <row r="398" spans="1:13" x14ac:dyDescent="0.3">
      <c r="A398" t="s">
        <v>240</v>
      </c>
      <c r="B398" t="s">
        <v>174</v>
      </c>
      <c r="C398">
        <v>380</v>
      </c>
      <c r="D398" t="s">
        <v>60</v>
      </c>
      <c r="E398" t="s">
        <v>65</v>
      </c>
      <c r="F398" t="s">
        <v>123</v>
      </c>
    </row>
    <row r="399" spans="1:13" x14ac:dyDescent="0.3">
      <c r="A399" t="s">
        <v>240</v>
      </c>
      <c r="B399" t="s">
        <v>176</v>
      </c>
      <c r="C399">
        <v>200</v>
      </c>
      <c r="D399" t="s">
        <v>31</v>
      </c>
      <c r="E399" t="s">
        <v>65</v>
      </c>
      <c r="F399">
        <v>10</v>
      </c>
      <c r="G399" t="s">
        <v>126</v>
      </c>
      <c r="M399" s="1"/>
    </row>
    <row r="400" spans="1:13" x14ac:dyDescent="0.3">
      <c r="A400" t="s">
        <v>240</v>
      </c>
      <c r="B400" t="s">
        <v>178</v>
      </c>
      <c r="C400">
        <v>140</v>
      </c>
      <c r="D400" t="s">
        <v>60</v>
      </c>
      <c r="E400" t="s">
        <v>61</v>
      </c>
      <c r="F400" t="s">
        <v>80</v>
      </c>
    </row>
    <row r="401" spans="1:13" x14ac:dyDescent="0.3">
      <c r="A401" t="s">
        <v>240</v>
      </c>
      <c r="B401" t="s">
        <v>90</v>
      </c>
      <c r="C401">
        <v>100</v>
      </c>
      <c r="D401" t="s">
        <v>31</v>
      </c>
      <c r="E401" t="s">
        <v>65</v>
      </c>
      <c r="F401" t="s">
        <v>86</v>
      </c>
    </row>
    <row r="402" spans="1:13" x14ac:dyDescent="0.3">
      <c r="A402" t="s">
        <v>240</v>
      </c>
      <c r="B402" t="s">
        <v>73</v>
      </c>
      <c r="C402" t="s">
        <v>31</v>
      </c>
      <c r="D402" t="s">
        <v>65</v>
      </c>
      <c r="E402" t="s">
        <v>151</v>
      </c>
    </row>
    <row r="403" spans="1:13" x14ac:dyDescent="0.3">
      <c r="A403" t="s">
        <v>240</v>
      </c>
      <c r="B403" t="s">
        <v>161</v>
      </c>
      <c r="C403">
        <v>500</v>
      </c>
      <c r="D403" t="s">
        <v>60</v>
      </c>
      <c r="E403" t="s">
        <v>61</v>
      </c>
      <c r="F403">
        <v>0</v>
      </c>
      <c r="G403" t="s">
        <v>115</v>
      </c>
    </row>
    <row r="404" spans="1:13" x14ac:dyDescent="0.3">
      <c r="A404" t="s">
        <v>240</v>
      </c>
      <c r="B404" t="s">
        <v>163</v>
      </c>
      <c r="C404">
        <v>220</v>
      </c>
      <c r="D404" t="s">
        <v>31</v>
      </c>
      <c r="E404" t="s">
        <v>70</v>
      </c>
      <c r="F404">
        <v>0</v>
      </c>
      <c r="G404" t="s">
        <v>71</v>
      </c>
    </row>
    <row r="405" spans="1:13" x14ac:dyDescent="0.3">
      <c r="A405" t="s">
        <v>240</v>
      </c>
      <c r="B405" t="s">
        <v>166</v>
      </c>
      <c r="C405">
        <v>180</v>
      </c>
      <c r="D405" t="s">
        <v>60</v>
      </c>
      <c r="E405" t="s">
        <v>65</v>
      </c>
      <c r="F405">
        <v>0</v>
      </c>
      <c r="G405" t="s">
        <v>74</v>
      </c>
    </row>
    <row r="406" spans="1:13" x14ac:dyDescent="0.3">
      <c r="A406" t="s">
        <v>240</v>
      </c>
      <c r="B406" t="s">
        <v>168</v>
      </c>
      <c r="C406">
        <v>280</v>
      </c>
      <c r="D406" t="s">
        <v>31</v>
      </c>
      <c r="E406" t="s">
        <v>61</v>
      </c>
      <c r="F406" t="s">
        <v>77</v>
      </c>
    </row>
    <row r="407" spans="1:13" x14ac:dyDescent="0.3">
      <c r="A407" t="s">
        <v>240</v>
      </c>
      <c r="B407" t="s">
        <v>76</v>
      </c>
      <c r="C407">
        <v>500</v>
      </c>
      <c r="D407" t="s">
        <v>60</v>
      </c>
      <c r="E407" t="s">
        <v>65</v>
      </c>
      <c r="F407" t="s">
        <v>80</v>
      </c>
    </row>
    <row r="408" spans="1:13" x14ac:dyDescent="0.3">
      <c r="A408" t="s">
        <v>240</v>
      </c>
      <c r="B408" t="s">
        <v>172</v>
      </c>
      <c r="C408">
        <v>160</v>
      </c>
      <c r="D408" t="s">
        <v>31</v>
      </c>
      <c r="E408" t="s">
        <v>70</v>
      </c>
      <c r="F408">
        <v>15</v>
      </c>
      <c r="G408" t="s">
        <v>126</v>
      </c>
    </row>
    <row r="409" spans="1:13" x14ac:dyDescent="0.3">
      <c r="A409" t="s">
        <v>240</v>
      </c>
      <c r="B409" t="s">
        <v>188</v>
      </c>
      <c r="C409" t="s">
        <v>60</v>
      </c>
      <c r="D409" t="s">
        <v>61</v>
      </c>
      <c r="E409" t="s">
        <v>86</v>
      </c>
      <c r="M409" s="1"/>
    </row>
    <row r="410" spans="1:13" x14ac:dyDescent="0.3">
      <c r="A410" t="s">
        <v>240</v>
      </c>
      <c r="B410" t="s">
        <v>190</v>
      </c>
      <c r="C410" t="s">
        <v>31</v>
      </c>
      <c r="D410" t="s">
        <v>65</v>
      </c>
      <c r="E410">
        <v>0</v>
      </c>
      <c r="F410" t="s">
        <v>71</v>
      </c>
    </row>
    <row r="411" spans="1:13" x14ac:dyDescent="0.3">
      <c r="A411" t="s">
        <v>240</v>
      </c>
      <c r="B411" t="s">
        <v>178</v>
      </c>
      <c r="C411">
        <v>140</v>
      </c>
      <c r="D411" t="s">
        <v>60</v>
      </c>
      <c r="E411" t="s">
        <v>65</v>
      </c>
      <c r="F411">
        <v>20</v>
      </c>
      <c r="G411" t="s">
        <v>74</v>
      </c>
      <c r="M411" s="1"/>
    </row>
    <row r="412" spans="1:13" x14ac:dyDescent="0.3">
      <c r="A412" t="s">
        <v>240</v>
      </c>
      <c r="B412" t="s">
        <v>90</v>
      </c>
      <c r="C412">
        <v>100</v>
      </c>
      <c r="D412" t="s">
        <v>31</v>
      </c>
      <c r="E412" t="s">
        <v>70</v>
      </c>
      <c r="F412">
        <v>0</v>
      </c>
      <c r="G412" t="s">
        <v>93</v>
      </c>
    </row>
    <row r="413" spans="1:13" x14ac:dyDescent="0.3">
      <c r="A413" t="s">
        <v>240</v>
      </c>
      <c r="B413" t="s">
        <v>92</v>
      </c>
      <c r="C413">
        <v>320</v>
      </c>
      <c r="D413" t="s">
        <v>60</v>
      </c>
      <c r="E413" t="s">
        <v>61</v>
      </c>
      <c r="F413" t="s">
        <v>62</v>
      </c>
    </row>
    <row r="414" spans="1:13" x14ac:dyDescent="0.3">
      <c r="A414" t="s">
        <v>240</v>
      </c>
      <c r="B414" t="s">
        <v>95</v>
      </c>
      <c r="C414">
        <v>350</v>
      </c>
      <c r="D414" t="s">
        <v>31</v>
      </c>
      <c r="E414" t="s">
        <v>65</v>
      </c>
      <c r="F414">
        <v>25</v>
      </c>
      <c r="G414" t="s">
        <v>195</v>
      </c>
    </row>
    <row r="415" spans="1:13" x14ac:dyDescent="0.3">
      <c r="A415" t="s">
        <v>240</v>
      </c>
      <c r="B415" t="s">
        <v>98</v>
      </c>
      <c r="C415" t="s">
        <v>60</v>
      </c>
      <c r="D415" t="s">
        <v>65</v>
      </c>
      <c r="E415" t="s">
        <v>86</v>
      </c>
      <c r="M415" s="1"/>
    </row>
    <row r="416" spans="1:13" x14ac:dyDescent="0.3">
      <c r="A416" t="s">
        <v>240</v>
      </c>
      <c r="B416" t="s">
        <v>198</v>
      </c>
      <c r="C416">
        <v>300</v>
      </c>
      <c r="D416" t="s">
        <v>31</v>
      </c>
      <c r="E416" t="s">
        <v>61</v>
      </c>
      <c r="F416" t="s">
        <v>103</v>
      </c>
    </row>
    <row r="417" spans="1:13" x14ac:dyDescent="0.3">
      <c r="A417" t="s">
        <v>240</v>
      </c>
      <c r="B417" t="s">
        <v>102</v>
      </c>
      <c r="C417">
        <v>150</v>
      </c>
      <c r="D417" t="s">
        <v>60</v>
      </c>
      <c r="E417" t="s">
        <v>65</v>
      </c>
      <c r="F417">
        <v>10</v>
      </c>
      <c r="G417" t="s">
        <v>74</v>
      </c>
    </row>
    <row r="418" spans="1:13" x14ac:dyDescent="0.3">
      <c r="A418" t="s">
        <v>240</v>
      </c>
      <c r="B418" t="s">
        <v>201</v>
      </c>
      <c r="C418">
        <v>400</v>
      </c>
      <c r="D418" t="s">
        <v>31</v>
      </c>
      <c r="E418" t="s">
        <v>70</v>
      </c>
      <c r="F418">
        <v>0</v>
      </c>
      <c r="G418" t="s">
        <v>93</v>
      </c>
    </row>
    <row r="419" spans="1:13" x14ac:dyDescent="0.3">
      <c r="A419" t="s">
        <v>240</v>
      </c>
      <c r="B419" t="s">
        <v>108</v>
      </c>
      <c r="C419">
        <v>250</v>
      </c>
      <c r="D419" t="s">
        <v>60</v>
      </c>
      <c r="E419" t="s">
        <v>61</v>
      </c>
      <c r="F419" t="s">
        <v>62</v>
      </c>
    </row>
    <row r="420" spans="1:13" x14ac:dyDescent="0.3">
      <c r="A420" t="s">
        <v>240</v>
      </c>
      <c r="B420" t="s">
        <v>110</v>
      </c>
      <c r="C420">
        <v>150</v>
      </c>
      <c r="D420" t="s">
        <v>31</v>
      </c>
      <c r="E420" t="s">
        <v>65</v>
      </c>
      <c r="F420" t="s">
        <v>204</v>
      </c>
    </row>
    <row r="421" spans="1:13" x14ac:dyDescent="0.3">
      <c r="A421" t="s">
        <v>240</v>
      </c>
      <c r="B421" t="s">
        <v>112</v>
      </c>
      <c r="C421">
        <v>300</v>
      </c>
      <c r="D421" t="s">
        <v>60</v>
      </c>
      <c r="E421" t="s">
        <v>65</v>
      </c>
      <c r="F421">
        <v>0</v>
      </c>
      <c r="G421" t="s">
        <v>115</v>
      </c>
      <c r="M421" s="1"/>
    </row>
    <row r="422" spans="1:13" x14ac:dyDescent="0.3">
      <c r="A422" t="s">
        <v>240</v>
      </c>
      <c r="B422" t="s">
        <v>207</v>
      </c>
      <c r="C422">
        <v>180</v>
      </c>
      <c r="D422" t="s">
        <v>31</v>
      </c>
      <c r="E422" t="s">
        <v>61</v>
      </c>
      <c r="F422" t="s">
        <v>103</v>
      </c>
    </row>
    <row r="423" spans="1:13" x14ac:dyDescent="0.3">
      <c r="A423" t="s">
        <v>240</v>
      </c>
      <c r="B423" t="s">
        <v>117</v>
      </c>
      <c r="C423">
        <v>90</v>
      </c>
      <c r="D423" t="s">
        <v>60</v>
      </c>
      <c r="E423" t="s">
        <v>65</v>
      </c>
      <c r="F423" t="s">
        <v>120</v>
      </c>
    </row>
    <row r="424" spans="1:13" x14ac:dyDescent="0.3">
      <c r="A424" t="s">
        <v>240</v>
      </c>
      <c r="B424" t="s">
        <v>119</v>
      </c>
      <c r="C424">
        <v>320</v>
      </c>
      <c r="D424" t="s">
        <v>31</v>
      </c>
      <c r="E424" t="s">
        <v>70</v>
      </c>
      <c r="F424">
        <v>0</v>
      </c>
      <c r="G424" t="s">
        <v>93</v>
      </c>
    </row>
    <row r="425" spans="1:13" x14ac:dyDescent="0.3">
      <c r="A425" t="s">
        <v>240</v>
      </c>
      <c r="B425" t="s">
        <v>122</v>
      </c>
      <c r="C425">
        <v>120</v>
      </c>
      <c r="D425" t="s">
        <v>60</v>
      </c>
      <c r="E425" t="s">
        <v>65</v>
      </c>
      <c r="F425">
        <v>0</v>
      </c>
      <c r="G425" t="s">
        <v>126</v>
      </c>
      <c r="M425" s="1"/>
    </row>
    <row r="426" spans="1:13" x14ac:dyDescent="0.3">
      <c r="A426" t="s">
        <v>240</v>
      </c>
      <c r="B426" t="s">
        <v>212</v>
      </c>
      <c r="C426">
        <v>450</v>
      </c>
      <c r="D426" t="s">
        <v>31</v>
      </c>
      <c r="E426" t="s">
        <v>61</v>
      </c>
      <c r="F426">
        <v>10</v>
      </c>
      <c r="G426" t="s">
        <v>195</v>
      </c>
    </row>
    <row r="427" spans="1:13" x14ac:dyDescent="0.3">
      <c r="A427" t="s">
        <v>240</v>
      </c>
      <c r="B427" t="s">
        <v>128</v>
      </c>
      <c r="C427">
        <v>260</v>
      </c>
      <c r="D427" t="s">
        <v>60</v>
      </c>
      <c r="E427" t="s">
        <v>61</v>
      </c>
      <c r="F427" t="s">
        <v>86</v>
      </c>
    </row>
    <row r="428" spans="1:13" x14ac:dyDescent="0.3">
      <c r="A428" t="s">
        <v>240</v>
      </c>
      <c r="B428" t="s">
        <v>130</v>
      </c>
      <c r="C428">
        <v>300</v>
      </c>
      <c r="D428" t="s">
        <v>31</v>
      </c>
      <c r="E428" t="s">
        <v>70</v>
      </c>
      <c r="F428" t="s">
        <v>103</v>
      </c>
    </row>
    <row r="429" spans="1:13" x14ac:dyDescent="0.3">
      <c r="A429" t="s">
        <v>240</v>
      </c>
      <c r="B429" t="s">
        <v>132</v>
      </c>
      <c r="C429">
        <v>200</v>
      </c>
      <c r="D429" t="s">
        <v>60</v>
      </c>
      <c r="E429" t="s">
        <v>65</v>
      </c>
      <c r="F429">
        <v>25</v>
      </c>
      <c r="G429" t="s">
        <v>74</v>
      </c>
      <c r="M429" s="1"/>
    </row>
    <row r="430" spans="1:13" x14ac:dyDescent="0.3">
      <c r="A430" t="s">
        <v>240</v>
      </c>
      <c r="B430" t="s">
        <v>134</v>
      </c>
      <c r="C430">
        <v>240</v>
      </c>
      <c r="D430" t="s">
        <v>31</v>
      </c>
      <c r="E430" t="s">
        <v>65</v>
      </c>
      <c r="F430">
        <v>0</v>
      </c>
      <c r="G430" t="s">
        <v>93</v>
      </c>
    </row>
    <row r="431" spans="1:13" x14ac:dyDescent="0.3">
      <c r="A431" t="s">
        <v>240</v>
      </c>
      <c r="B431" t="s">
        <v>136</v>
      </c>
      <c r="C431">
        <v>320</v>
      </c>
      <c r="D431" t="s">
        <v>60</v>
      </c>
      <c r="E431" t="s">
        <v>61</v>
      </c>
      <c r="F431" t="s">
        <v>62</v>
      </c>
    </row>
    <row r="432" spans="1:13" x14ac:dyDescent="0.3">
      <c r="A432" t="s">
        <v>240</v>
      </c>
      <c r="B432" t="s">
        <v>138</v>
      </c>
      <c r="C432">
        <v>200</v>
      </c>
      <c r="D432" t="s">
        <v>31</v>
      </c>
      <c r="E432" t="s">
        <v>65</v>
      </c>
      <c r="F432" t="s">
        <v>80</v>
      </c>
    </row>
    <row r="433" spans="1:13" x14ac:dyDescent="0.3">
      <c r="A433" t="s">
        <v>240</v>
      </c>
      <c r="B433" t="s">
        <v>140</v>
      </c>
      <c r="C433">
        <v>250</v>
      </c>
      <c r="D433" t="s">
        <v>60</v>
      </c>
      <c r="E433" t="s">
        <v>70</v>
      </c>
      <c r="F433" t="s">
        <v>220</v>
      </c>
    </row>
    <row r="434" spans="1:13" x14ac:dyDescent="0.3">
      <c r="A434" t="s">
        <v>240</v>
      </c>
      <c r="B434" t="s">
        <v>143</v>
      </c>
      <c r="C434">
        <v>180</v>
      </c>
      <c r="D434" t="s">
        <v>31</v>
      </c>
      <c r="E434" t="s">
        <v>65</v>
      </c>
      <c r="F434" t="s">
        <v>103</v>
      </c>
    </row>
    <row r="435" spans="1:13" x14ac:dyDescent="0.3">
      <c r="A435" t="s">
        <v>240</v>
      </c>
      <c r="B435" t="s">
        <v>145</v>
      </c>
      <c r="C435">
        <v>200</v>
      </c>
      <c r="D435" t="s">
        <v>60</v>
      </c>
      <c r="E435" t="s">
        <v>61</v>
      </c>
      <c r="F435">
        <v>0</v>
      </c>
      <c r="G435" t="s">
        <v>74</v>
      </c>
      <c r="M435" s="1"/>
    </row>
    <row r="436" spans="1:13" x14ac:dyDescent="0.3">
      <c r="A436" t="s">
        <v>240</v>
      </c>
      <c r="B436" t="s">
        <v>76</v>
      </c>
      <c r="C436">
        <v>500</v>
      </c>
      <c r="D436" t="s">
        <v>31</v>
      </c>
      <c r="E436" t="s">
        <v>65</v>
      </c>
      <c r="F436">
        <v>30</v>
      </c>
      <c r="G436" t="s">
        <v>93</v>
      </c>
    </row>
    <row r="437" spans="1:13" x14ac:dyDescent="0.3">
      <c r="A437" t="s">
        <v>240</v>
      </c>
      <c r="B437" t="s">
        <v>148</v>
      </c>
      <c r="C437">
        <v>180</v>
      </c>
      <c r="D437" t="s">
        <v>60</v>
      </c>
      <c r="E437" t="s">
        <v>65</v>
      </c>
      <c r="F437" t="s">
        <v>62</v>
      </c>
    </row>
    <row r="438" spans="1:13" x14ac:dyDescent="0.3">
      <c r="A438" t="s">
        <v>240</v>
      </c>
      <c r="B438" t="s">
        <v>150</v>
      </c>
      <c r="C438">
        <v>450</v>
      </c>
      <c r="D438" t="s">
        <v>31</v>
      </c>
      <c r="E438" t="s">
        <v>70</v>
      </c>
      <c r="F438" t="s">
        <v>80</v>
      </c>
    </row>
    <row r="439" spans="1:13" x14ac:dyDescent="0.3">
      <c r="A439" t="s">
        <v>240</v>
      </c>
      <c r="B439" t="s">
        <v>95</v>
      </c>
      <c r="C439">
        <v>300</v>
      </c>
      <c r="D439" t="s">
        <v>60</v>
      </c>
      <c r="E439" t="s">
        <v>61</v>
      </c>
      <c r="F439">
        <v>10</v>
      </c>
      <c r="G439" t="s">
        <v>115</v>
      </c>
      <c r="M439" s="1"/>
    </row>
    <row r="440" spans="1:13" x14ac:dyDescent="0.3">
      <c r="A440" t="s">
        <v>240</v>
      </c>
      <c r="B440" t="s">
        <v>154</v>
      </c>
      <c r="C440">
        <v>260</v>
      </c>
      <c r="D440" t="s">
        <v>31</v>
      </c>
      <c r="E440" t="s">
        <v>61</v>
      </c>
      <c r="F440" t="s">
        <v>103</v>
      </c>
    </row>
    <row r="441" spans="1:13" x14ac:dyDescent="0.3">
      <c r="A441" t="s">
        <v>240</v>
      </c>
      <c r="B441" t="s">
        <v>156</v>
      </c>
      <c r="C441">
        <v>350</v>
      </c>
      <c r="D441" t="s">
        <v>60</v>
      </c>
      <c r="E441" t="s">
        <v>65</v>
      </c>
      <c r="F441" t="s">
        <v>106</v>
      </c>
    </row>
    <row r="442" spans="1:13" x14ac:dyDescent="0.3">
      <c r="A442" t="s">
        <v>240</v>
      </c>
      <c r="B442" t="s">
        <v>159</v>
      </c>
      <c r="C442">
        <v>420</v>
      </c>
      <c r="D442" t="s">
        <v>31</v>
      </c>
      <c r="E442" t="s">
        <v>70</v>
      </c>
      <c r="F442" t="s">
        <v>230</v>
      </c>
    </row>
    <row r="443" spans="1:13" x14ac:dyDescent="0.3">
      <c r="A443" t="s">
        <v>240</v>
      </c>
      <c r="B443" t="s">
        <v>161</v>
      </c>
      <c r="C443">
        <v>500</v>
      </c>
      <c r="D443" t="s">
        <v>60</v>
      </c>
      <c r="E443" t="s">
        <v>61</v>
      </c>
      <c r="F443" t="s">
        <v>62</v>
      </c>
    </row>
    <row r="444" spans="1:13" x14ac:dyDescent="0.3">
      <c r="A444" t="s">
        <v>240</v>
      </c>
      <c r="B444" t="s">
        <v>163</v>
      </c>
      <c r="C444">
        <v>220</v>
      </c>
      <c r="D444" t="s">
        <v>31</v>
      </c>
      <c r="E444" t="s">
        <v>65</v>
      </c>
      <c r="F444" t="s">
        <v>80</v>
      </c>
    </row>
    <row r="445" spans="1:13" x14ac:dyDescent="0.3">
      <c r="A445" t="s">
        <v>240</v>
      </c>
      <c r="B445" t="s">
        <v>166</v>
      </c>
      <c r="C445">
        <v>180</v>
      </c>
      <c r="D445" t="s">
        <v>60</v>
      </c>
      <c r="E445" t="s">
        <v>70</v>
      </c>
      <c r="F445">
        <v>15</v>
      </c>
      <c r="G445" t="s">
        <v>115</v>
      </c>
      <c r="M445" s="1"/>
    </row>
    <row r="446" spans="1:13" x14ac:dyDescent="0.3">
      <c r="A446" t="s">
        <v>240</v>
      </c>
      <c r="B446" t="s">
        <v>168</v>
      </c>
      <c r="C446">
        <v>280</v>
      </c>
      <c r="D446" t="s">
        <v>31</v>
      </c>
      <c r="E446" t="s">
        <v>61</v>
      </c>
      <c r="F446" t="s">
        <v>103</v>
      </c>
    </row>
    <row r="447" spans="1:13" x14ac:dyDescent="0.3">
      <c r="A447" t="s">
        <v>240</v>
      </c>
      <c r="B447" t="s">
        <v>76</v>
      </c>
      <c r="C447">
        <v>500</v>
      </c>
      <c r="D447" t="s">
        <v>60</v>
      </c>
      <c r="E447" t="s">
        <v>65</v>
      </c>
      <c r="F447" t="s">
        <v>106</v>
      </c>
    </row>
    <row r="448" spans="1:13" x14ac:dyDescent="0.3">
      <c r="A448" t="s">
        <v>240</v>
      </c>
      <c r="B448" t="s">
        <v>172</v>
      </c>
      <c r="C448">
        <v>160</v>
      </c>
      <c r="D448" t="s">
        <v>31</v>
      </c>
      <c r="E448" t="s">
        <v>70</v>
      </c>
      <c r="F448" t="s">
        <v>123</v>
      </c>
    </row>
    <row r="449" spans="1:13" x14ac:dyDescent="0.3">
      <c r="A449" t="s">
        <v>240</v>
      </c>
      <c r="B449" t="s">
        <v>174</v>
      </c>
      <c r="C449">
        <v>380</v>
      </c>
      <c r="D449" t="s">
        <v>60</v>
      </c>
      <c r="E449" t="s">
        <v>65</v>
      </c>
      <c r="F449">
        <v>10</v>
      </c>
      <c r="G449" t="s">
        <v>126</v>
      </c>
      <c r="M449" s="1"/>
    </row>
    <row r="450" spans="1:13" x14ac:dyDescent="0.3">
      <c r="A450" t="s">
        <v>240</v>
      </c>
      <c r="B450" t="s">
        <v>176</v>
      </c>
      <c r="C450">
        <v>200</v>
      </c>
      <c r="D450" t="s">
        <v>31</v>
      </c>
      <c r="E450" t="s">
        <v>61</v>
      </c>
      <c r="F450" t="s">
        <v>80</v>
      </c>
    </row>
    <row r="451" spans="1:13" x14ac:dyDescent="0.3">
      <c r="A451" t="s">
        <v>240</v>
      </c>
      <c r="B451" t="s">
        <v>178</v>
      </c>
      <c r="C451">
        <v>140</v>
      </c>
      <c r="D451" t="s">
        <v>60</v>
      </c>
      <c r="E451" t="s">
        <v>65</v>
      </c>
      <c r="F451" t="s">
        <v>86</v>
      </c>
    </row>
    <row r="452" spans="1:13" x14ac:dyDescent="0.3">
      <c r="A452" t="s">
        <v>240</v>
      </c>
      <c r="B452" t="s">
        <v>52</v>
      </c>
      <c r="C452" t="s">
        <v>53</v>
      </c>
    </row>
    <row r="453" spans="1:13" x14ac:dyDescent="0.3">
      <c r="A453" t="s">
        <v>240</v>
      </c>
      <c r="B453" t="s">
        <v>55</v>
      </c>
      <c r="C453" t="s">
        <v>56</v>
      </c>
      <c r="D453">
        <v>30</v>
      </c>
      <c r="E453" t="s">
        <v>57</v>
      </c>
      <c r="M453" s="1"/>
    </row>
    <row r="454" spans="1:13" x14ac:dyDescent="0.3">
      <c r="A454" t="s">
        <v>240</v>
      </c>
      <c r="B454" t="s">
        <v>59</v>
      </c>
      <c r="C454" t="s">
        <v>60</v>
      </c>
      <c r="D454" t="s">
        <v>61</v>
      </c>
      <c r="E454" t="s">
        <v>62</v>
      </c>
    </row>
    <row r="455" spans="1:13" x14ac:dyDescent="0.3">
      <c r="A455" t="s">
        <v>240</v>
      </c>
      <c r="B455" t="s">
        <v>64</v>
      </c>
      <c r="C455" t="s">
        <v>31</v>
      </c>
      <c r="D455" t="s">
        <v>65</v>
      </c>
      <c r="E455" t="s">
        <v>66</v>
      </c>
    </row>
    <row r="456" spans="1:13" x14ac:dyDescent="0.3">
      <c r="A456" t="s">
        <v>240</v>
      </c>
      <c r="B456" t="s">
        <v>68</v>
      </c>
      <c r="C456" t="s">
        <v>69</v>
      </c>
      <c r="D456" t="s">
        <v>60</v>
      </c>
      <c r="E456" t="s">
        <v>70</v>
      </c>
      <c r="F456">
        <v>0</v>
      </c>
      <c r="G456" t="s">
        <v>71</v>
      </c>
    </row>
    <row r="457" spans="1:13" x14ac:dyDescent="0.3">
      <c r="A457" t="s">
        <v>240</v>
      </c>
      <c r="B457" t="s">
        <v>73</v>
      </c>
      <c r="C457" t="s">
        <v>31</v>
      </c>
      <c r="D457" t="s">
        <v>65</v>
      </c>
      <c r="E457">
        <v>0</v>
      </c>
      <c r="F457" t="s">
        <v>74</v>
      </c>
      <c r="M457" s="1"/>
    </row>
    <row r="458" spans="1:13" x14ac:dyDescent="0.3">
      <c r="A458" t="s">
        <v>240</v>
      </c>
      <c r="B458" t="s">
        <v>76</v>
      </c>
      <c r="C458">
        <v>500</v>
      </c>
      <c r="D458" t="s">
        <v>60</v>
      </c>
      <c r="E458" t="s">
        <v>61</v>
      </c>
      <c r="F458" t="s">
        <v>77</v>
      </c>
    </row>
    <row r="459" spans="1:13" x14ac:dyDescent="0.3">
      <c r="A459" t="s">
        <v>240</v>
      </c>
      <c r="B459" t="s">
        <v>79</v>
      </c>
      <c r="C459">
        <v>1</v>
      </c>
      <c r="D459">
        <v>160</v>
      </c>
      <c r="E459" t="s">
        <v>31</v>
      </c>
      <c r="F459" t="s">
        <v>70</v>
      </c>
      <c r="G459" t="s">
        <v>80</v>
      </c>
    </row>
    <row r="460" spans="1:13" x14ac:dyDescent="0.3">
      <c r="A460" t="s">
        <v>240</v>
      </c>
      <c r="B460" t="s">
        <v>82</v>
      </c>
      <c r="C460" t="s">
        <v>60</v>
      </c>
      <c r="D460" t="s">
        <v>65</v>
      </c>
      <c r="E460" t="s">
        <v>83</v>
      </c>
    </row>
    <row r="461" spans="1:13" x14ac:dyDescent="0.3">
      <c r="A461" t="s">
        <v>240</v>
      </c>
      <c r="B461" t="s">
        <v>85</v>
      </c>
      <c r="C461" t="s">
        <v>31</v>
      </c>
      <c r="D461" t="s">
        <v>61</v>
      </c>
      <c r="E461" t="s">
        <v>86</v>
      </c>
      <c r="M461" s="1"/>
    </row>
    <row r="462" spans="1:13" x14ac:dyDescent="0.3">
      <c r="A462" t="s">
        <v>240</v>
      </c>
      <c r="B462" t="s">
        <v>88</v>
      </c>
      <c r="C462" t="s">
        <v>60</v>
      </c>
      <c r="D462" t="s">
        <v>65</v>
      </c>
      <c r="E462">
        <v>0</v>
      </c>
      <c r="F462" t="s">
        <v>71</v>
      </c>
    </row>
    <row r="463" spans="1:13" x14ac:dyDescent="0.3">
      <c r="A463" t="s">
        <v>240</v>
      </c>
      <c r="B463" t="s">
        <v>90</v>
      </c>
      <c r="C463">
        <v>100</v>
      </c>
      <c r="D463" t="s">
        <v>31</v>
      </c>
      <c r="E463" t="s">
        <v>70</v>
      </c>
      <c r="F463">
        <v>10</v>
      </c>
      <c r="G463" t="s">
        <v>74</v>
      </c>
      <c r="M463" s="1"/>
    </row>
    <row r="464" spans="1:13" x14ac:dyDescent="0.3">
      <c r="A464" t="s">
        <v>240</v>
      </c>
      <c r="B464" t="s">
        <v>92</v>
      </c>
      <c r="C464">
        <v>320</v>
      </c>
      <c r="D464" t="s">
        <v>60</v>
      </c>
      <c r="E464" t="s">
        <v>65</v>
      </c>
      <c r="F464">
        <v>0</v>
      </c>
      <c r="G464" t="s">
        <v>93</v>
      </c>
    </row>
    <row r="465" spans="1:13" x14ac:dyDescent="0.3">
      <c r="A465" t="s">
        <v>240</v>
      </c>
      <c r="B465" t="s">
        <v>95</v>
      </c>
      <c r="C465">
        <v>350</v>
      </c>
      <c r="D465" t="s">
        <v>31</v>
      </c>
      <c r="E465" t="s">
        <v>61</v>
      </c>
      <c r="F465" t="s">
        <v>96</v>
      </c>
    </row>
    <row r="466" spans="1:13" x14ac:dyDescent="0.3">
      <c r="A466" t="s">
        <v>240</v>
      </c>
      <c r="B466" t="s">
        <v>98</v>
      </c>
      <c r="C466" t="s">
        <v>60</v>
      </c>
      <c r="D466" t="s">
        <v>70</v>
      </c>
      <c r="E466" t="s">
        <v>80</v>
      </c>
    </row>
    <row r="467" spans="1:13" x14ac:dyDescent="0.3">
      <c r="A467" t="s">
        <v>240</v>
      </c>
      <c r="B467" t="s">
        <v>100</v>
      </c>
      <c r="C467" t="s">
        <v>31</v>
      </c>
      <c r="D467" t="s">
        <v>65</v>
      </c>
      <c r="E467" t="s">
        <v>66</v>
      </c>
      <c r="M467" s="1"/>
    </row>
    <row r="468" spans="1:13" x14ac:dyDescent="0.3">
      <c r="A468" t="s">
        <v>240</v>
      </c>
      <c r="B468" t="s">
        <v>102</v>
      </c>
      <c r="C468">
        <v>150</v>
      </c>
      <c r="D468" t="s">
        <v>60</v>
      </c>
      <c r="E468" t="s">
        <v>61</v>
      </c>
      <c r="F468" t="s">
        <v>103</v>
      </c>
    </row>
    <row r="469" spans="1:13" x14ac:dyDescent="0.3">
      <c r="A469" t="s">
        <v>240</v>
      </c>
      <c r="B469" t="s">
        <v>105</v>
      </c>
      <c r="C469" t="s">
        <v>31</v>
      </c>
      <c r="D469" t="s">
        <v>65</v>
      </c>
      <c r="E469" t="s">
        <v>106</v>
      </c>
    </row>
    <row r="470" spans="1:13" x14ac:dyDescent="0.3">
      <c r="A470" t="s">
        <v>240</v>
      </c>
      <c r="B470" t="s">
        <v>108</v>
      </c>
      <c r="C470">
        <v>250</v>
      </c>
      <c r="D470" t="s">
        <v>60</v>
      </c>
      <c r="E470" t="s">
        <v>61</v>
      </c>
      <c r="F470">
        <v>30</v>
      </c>
      <c r="G470" t="s">
        <v>93</v>
      </c>
    </row>
    <row r="471" spans="1:13" x14ac:dyDescent="0.3">
      <c r="A471" t="s">
        <v>240</v>
      </c>
      <c r="B471" t="s">
        <v>110</v>
      </c>
      <c r="C471">
        <v>150</v>
      </c>
      <c r="D471" t="s">
        <v>31</v>
      </c>
      <c r="E471" t="s">
        <v>70</v>
      </c>
      <c r="F471" t="s">
        <v>62</v>
      </c>
    </row>
    <row r="472" spans="1:13" x14ac:dyDescent="0.3">
      <c r="A472" t="s">
        <v>240</v>
      </c>
      <c r="B472" t="s">
        <v>112</v>
      </c>
      <c r="C472">
        <v>300</v>
      </c>
      <c r="D472" t="s">
        <v>60</v>
      </c>
      <c r="E472" t="s">
        <v>65</v>
      </c>
      <c r="F472" t="s">
        <v>80</v>
      </c>
    </row>
    <row r="473" spans="1:13" x14ac:dyDescent="0.3">
      <c r="A473" t="s">
        <v>240</v>
      </c>
      <c r="B473" t="s">
        <v>114</v>
      </c>
      <c r="C473">
        <v>3</v>
      </c>
      <c r="D473">
        <v>180</v>
      </c>
      <c r="E473" t="s">
        <v>31</v>
      </c>
      <c r="F473" t="s">
        <v>61</v>
      </c>
      <c r="G473">
        <v>10</v>
      </c>
      <c r="M473" s="1"/>
    </row>
    <row r="474" spans="1:13" x14ac:dyDescent="0.3">
      <c r="A474" t="s">
        <v>240</v>
      </c>
      <c r="B474" t="s">
        <v>117</v>
      </c>
      <c r="C474">
        <v>90</v>
      </c>
      <c r="D474" t="s">
        <v>60</v>
      </c>
      <c r="E474" t="s">
        <v>65</v>
      </c>
      <c r="F474">
        <v>0</v>
      </c>
      <c r="G474" t="s">
        <v>71</v>
      </c>
    </row>
    <row r="475" spans="1:13" x14ac:dyDescent="0.3">
      <c r="A475" t="s">
        <v>240</v>
      </c>
      <c r="B475" t="s">
        <v>119</v>
      </c>
      <c r="C475">
        <v>320</v>
      </c>
      <c r="D475" t="s">
        <v>31</v>
      </c>
      <c r="E475" t="s">
        <v>70</v>
      </c>
      <c r="F475" t="s">
        <v>120</v>
      </c>
    </row>
    <row r="476" spans="1:13" x14ac:dyDescent="0.3">
      <c r="A476" t="s">
        <v>240</v>
      </c>
      <c r="B476" t="s">
        <v>122</v>
      </c>
      <c r="C476">
        <v>120</v>
      </c>
      <c r="D476" t="s">
        <v>60</v>
      </c>
      <c r="E476" t="s">
        <v>61</v>
      </c>
      <c r="F476" t="s">
        <v>123</v>
      </c>
    </row>
    <row r="477" spans="1:13" x14ac:dyDescent="0.3">
      <c r="A477" t="s">
        <v>240</v>
      </c>
      <c r="B477" t="s">
        <v>125</v>
      </c>
      <c r="C477">
        <v>1</v>
      </c>
      <c r="D477">
        <v>450</v>
      </c>
      <c r="E477" t="s">
        <v>31</v>
      </c>
      <c r="F477" t="s">
        <v>65</v>
      </c>
      <c r="G477">
        <v>15</v>
      </c>
      <c r="M477" s="1"/>
    </row>
    <row r="478" spans="1:13" x14ac:dyDescent="0.3">
      <c r="A478" t="s">
        <v>240</v>
      </c>
      <c r="B478" t="s">
        <v>128</v>
      </c>
      <c r="C478">
        <v>260</v>
      </c>
      <c r="D478" t="s">
        <v>60</v>
      </c>
      <c r="E478" t="s">
        <v>61</v>
      </c>
      <c r="F478" t="s">
        <v>80</v>
      </c>
    </row>
    <row r="479" spans="1:13" x14ac:dyDescent="0.3">
      <c r="A479" t="s">
        <v>240</v>
      </c>
      <c r="B479" t="s">
        <v>130</v>
      </c>
      <c r="C479">
        <v>300</v>
      </c>
      <c r="D479" t="s">
        <v>31</v>
      </c>
      <c r="E479" t="s">
        <v>70</v>
      </c>
      <c r="F479" t="s">
        <v>66</v>
      </c>
    </row>
    <row r="480" spans="1:13" x14ac:dyDescent="0.3">
      <c r="A480" t="s">
        <v>240</v>
      </c>
      <c r="B480" t="s">
        <v>132</v>
      </c>
      <c r="C480">
        <v>200</v>
      </c>
      <c r="D480" t="s">
        <v>60</v>
      </c>
      <c r="E480" t="s">
        <v>65</v>
      </c>
      <c r="F480" t="s">
        <v>103</v>
      </c>
    </row>
    <row r="481" spans="1:13" x14ac:dyDescent="0.3">
      <c r="A481" t="s">
        <v>240</v>
      </c>
      <c r="B481" t="s">
        <v>134</v>
      </c>
      <c r="C481">
        <v>240</v>
      </c>
      <c r="D481" t="s">
        <v>31</v>
      </c>
      <c r="E481" t="s">
        <v>65</v>
      </c>
      <c r="F481">
        <v>10</v>
      </c>
      <c r="G481" t="s">
        <v>74</v>
      </c>
      <c r="M481" s="1"/>
    </row>
    <row r="482" spans="1:13" x14ac:dyDescent="0.3">
      <c r="A482" t="s">
        <v>240</v>
      </c>
      <c r="B482" t="s">
        <v>136</v>
      </c>
      <c r="C482">
        <v>320</v>
      </c>
      <c r="D482" t="s">
        <v>60</v>
      </c>
      <c r="E482" t="s">
        <v>61</v>
      </c>
      <c r="F482" t="s">
        <v>123</v>
      </c>
    </row>
    <row r="483" spans="1:13" x14ac:dyDescent="0.3">
      <c r="A483" t="s">
        <v>240</v>
      </c>
      <c r="B483" t="s">
        <v>138</v>
      </c>
      <c r="C483">
        <v>200</v>
      </c>
      <c r="D483" t="s">
        <v>31</v>
      </c>
      <c r="E483" t="s">
        <v>61</v>
      </c>
      <c r="F483" t="s">
        <v>62</v>
      </c>
    </row>
    <row r="484" spans="1:13" x14ac:dyDescent="0.3">
      <c r="A484" t="s">
        <v>240</v>
      </c>
      <c r="B484" t="s">
        <v>140</v>
      </c>
      <c r="C484">
        <v>250</v>
      </c>
      <c r="D484" t="s">
        <v>60</v>
      </c>
      <c r="E484" t="s">
        <v>65</v>
      </c>
      <c r="F484" t="s">
        <v>141</v>
      </c>
    </row>
    <row r="485" spans="1:13" x14ac:dyDescent="0.3">
      <c r="A485" t="s">
        <v>240</v>
      </c>
      <c r="B485" t="s">
        <v>143</v>
      </c>
      <c r="C485">
        <v>180</v>
      </c>
      <c r="D485" t="s">
        <v>31</v>
      </c>
      <c r="E485" t="s">
        <v>70</v>
      </c>
      <c r="F485" t="s">
        <v>86</v>
      </c>
    </row>
    <row r="486" spans="1:13" x14ac:dyDescent="0.3">
      <c r="A486" t="s">
        <v>240</v>
      </c>
      <c r="B486" t="s">
        <v>145</v>
      </c>
      <c r="C486">
        <v>200</v>
      </c>
      <c r="D486" t="s">
        <v>60</v>
      </c>
      <c r="E486" t="s">
        <v>65</v>
      </c>
      <c r="F486" t="s">
        <v>103</v>
      </c>
    </row>
    <row r="487" spans="1:13" x14ac:dyDescent="0.3">
      <c r="A487" t="s">
        <v>240</v>
      </c>
      <c r="B487" t="s">
        <v>76</v>
      </c>
      <c r="C487">
        <v>500</v>
      </c>
      <c r="D487" t="s">
        <v>31</v>
      </c>
      <c r="E487" t="s">
        <v>61</v>
      </c>
      <c r="F487">
        <v>15</v>
      </c>
      <c r="G487" t="s">
        <v>74</v>
      </c>
      <c r="M487" s="1"/>
    </row>
    <row r="488" spans="1:13" x14ac:dyDescent="0.3">
      <c r="A488" t="s">
        <v>240</v>
      </c>
      <c r="B488" t="s">
        <v>148</v>
      </c>
      <c r="C488">
        <v>180</v>
      </c>
      <c r="D488" t="s">
        <v>60</v>
      </c>
      <c r="E488" t="s">
        <v>65</v>
      </c>
      <c r="F488" t="s">
        <v>123</v>
      </c>
    </row>
    <row r="489" spans="1:13" x14ac:dyDescent="0.3">
      <c r="A489" t="s">
        <v>240</v>
      </c>
      <c r="B489" t="s">
        <v>150</v>
      </c>
      <c r="C489">
        <v>450</v>
      </c>
      <c r="D489" t="s">
        <v>31</v>
      </c>
      <c r="E489" t="s">
        <v>70</v>
      </c>
      <c r="F489" t="s">
        <v>151</v>
      </c>
    </row>
    <row r="490" spans="1:13" x14ac:dyDescent="0.3">
      <c r="A490" t="s">
        <v>240</v>
      </c>
      <c r="B490" t="s">
        <v>95</v>
      </c>
      <c r="C490">
        <v>300</v>
      </c>
      <c r="D490" t="s">
        <v>60</v>
      </c>
      <c r="E490" t="s">
        <v>61</v>
      </c>
      <c r="F490" t="s">
        <v>80</v>
      </c>
    </row>
    <row r="491" spans="1:13" x14ac:dyDescent="0.3">
      <c r="A491" t="s">
        <v>240</v>
      </c>
      <c r="B491" t="s">
        <v>154</v>
      </c>
      <c r="C491">
        <v>260</v>
      </c>
      <c r="D491" t="s">
        <v>31</v>
      </c>
      <c r="E491" t="s">
        <v>65</v>
      </c>
      <c r="F491" t="s">
        <v>86</v>
      </c>
    </row>
    <row r="492" spans="1:13" x14ac:dyDescent="0.3">
      <c r="A492" t="s">
        <v>240</v>
      </c>
      <c r="B492" t="s">
        <v>156</v>
      </c>
      <c r="C492">
        <v>350</v>
      </c>
      <c r="D492" t="s">
        <v>60</v>
      </c>
      <c r="E492" t="s">
        <v>61</v>
      </c>
      <c r="F492" t="s">
        <v>157</v>
      </c>
    </row>
    <row r="493" spans="1:13" x14ac:dyDescent="0.3">
      <c r="A493" t="s">
        <v>240</v>
      </c>
      <c r="B493" t="s">
        <v>46</v>
      </c>
    </row>
    <row r="494" spans="1:13" x14ac:dyDescent="0.3">
      <c r="A494" t="s">
        <v>240</v>
      </c>
      <c r="B494" t="s">
        <v>48</v>
      </c>
    </row>
    <row r="495" spans="1:13" x14ac:dyDescent="0.3">
      <c r="A495" t="s">
        <v>240</v>
      </c>
      <c r="B495" t="s">
        <v>50</v>
      </c>
    </row>
    <row r="496" spans="1:13" x14ac:dyDescent="0.3">
      <c r="A496" t="s">
        <v>240</v>
      </c>
      <c r="B496" t="s">
        <v>52</v>
      </c>
      <c r="C496" t="s">
        <v>53</v>
      </c>
    </row>
    <row r="497" spans="1:13" x14ac:dyDescent="0.3">
      <c r="A497" t="s">
        <v>240</v>
      </c>
      <c r="B497" t="s">
        <v>55</v>
      </c>
      <c r="C497" t="s">
        <v>56</v>
      </c>
      <c r="D497">
        <v>30</v>
      </c>
      <c r="E497" t="s">
        <v>57</v>
      </c>
      <c r="M497" s="1"/>
    </row>
    <row r="498" spans="1:13" x14ac:dyDescent="0.3">
      <c r="A498" t="s">
        <v>240</v>
      </c>
      <c r="B498" t="s">
        <v>59</v>
      </c>
      <c r="C498" t="s">
        <v>60</v>
      </c>
      <c r="D498" t="s">
        <v>61</v>
      </c>
      <c r="E498" t="s">
        <v>62</v>
      </c>
    </row>
    <row r="499" spans="1:13" x14ac:dyDescent="0.3">
      <c r="A499" t="s">
        <v>240</v>
      </c>
      <c r="B499" t="s">
        <v>64</v>
      </c>
      <c r="C499" t="s">
        <v>31</v>
      </c>
      <c r="D499" t="s">
        <v>65</v>
      </c>
      <c r="E499" t="s">
        <v>66</v>
      </c>
    </row>
    <row r="500" spans="1:13" x14ac:dyDescent="0.3">
      <c r="A500" t="s">
        <v>240</v>
      </c>
      <c r="B500" t="s">
        <v>68</v>
      </c>
      <c r="C500" t="s">
        <v>69</v>
      </c>
      <c r="D500" t="s">
        <v>60</v>
      </c>
      <c r="E500" t="s">
        <v>70</v>
      </c>
      <c r="F500">
        <v>0</v>
      </c>
      <c r="G500" t="s">
        <v>71</v>
      </c>
    </row>
    <row r="501" spans="1:13" x14ac:dyDescent="0.3">
      <c r="A501" t="s">
        <v>240</v>
      </c>
      <c r="B501" t="s">
        <v>73</v>
      </c>
      <c r="C501" t="s">
        <v>31</v>
      </c>
      <c r="D501" t="s">
        <v>65</v>
      </c>
      <c r="E501">
        <v>0</v>
      </c>
      <c r="F501" t="s">
        <v>74</v>
      </c>
      <c r="M501" s="1"/>
    </row>
    <row r="502" spans="1:13" x14ac:dyDescent="0.3">
      <c r="A502" t="s">
        <v>240</v>
      </c>
      <c r="B502" t="s">
        <v>76</v>
      </c>
      <c r="C502">
        <v>500</v>
      </c>
      <c r="D502" t="s">
        <v>60</v>
      </c>
      <c r="E502" t="s">
        <v>61</v>
      </c>
      <c r="F502" t="s">
        <v>77</v>
      </c>
    </row>
    <row r="503" spans="1:13" x14ac:dyDescent="0.3">
      <c r="A503" t="s">
        <v>240</v>
      </c>
      <c r="B503" t="s">
        <v>79</v>
      </c>
      <c r="C503">
        <v>1</v>
      </c>
      <c r="D503">
        <v>160</v>
      </c>
      <c r="E503" t="s">
        <v>31</v>
      </c>
      <c r="F503" t="s">
        <v>70</v>
      </c>
      <c r="G503" t="s">
        <v>80</v>
      </c>
    </row>
    <row r="504" spans="1:13" x14ac:dyDescent="0.3">
      <c r="A504" t="s">
        <v>240</v>
      </c>
      <c r="B504" t="s">
        <v>82</v>
      </c>
      <c r="C504" t="s">
        <v>60</v>
      </c>
      <c r="D504" t="s">
        <v>65</v>
      </c>
      <c r="E504" t="s">
        <v>83</v>
      </c>
    </row>
    <row r="505" spans="1:13" x14ac:dyDescent="0.3">
      <c r="A505" t="s">
        <v>240</v>
      </c>
      <c r="B505" t="s">
        <v>85</v>
      </c>
      <c r="C505" t="s">
        <v>31</v>
      </c>
      <c r="D505" t="s">
        <v>61</v>
      </c>
      <c r="E505" t="s">
        <v>86</v>
      </c>
      <c r="M505" s="1"/>
    </row>
    <row r="506" spans="1:13" x14ac:dyDescent="0.3">
      <c r="A506" t="s">
        <v>240</v>
      </c>
      <c r="B506" t="s">
        <v>88</v>
      </c>
      <c r="C506" t="s">
        <v>60</v>
      </c>
      <c r="D506" t="s">
        <v>65</v>
      </c>
      <c r="E506">
        <v>0</v>
      </c>
      <c r="F506" t="s">
        <v>71</v>
      </c>
    </row>
    <row r="507" spans="1:13" x14ac:dyDescent="0.3">
      <c r="A507" t="s">
        <v>240</v>
      </c>
      <c r="B507" t="s">
        <v>90</v>
      </c>
      <c r="C507">
        <v>100</v>
      </c>
      <c r="D507" t="s">
        <v>31</v>
      </c>
      <c r="E507" t="s">
        <v>70</v>
      </c>
      <c r="F507">
        <v>10</v>
      </c>
      <c r="G507" t="s">
        <v>74</v>
      </c>
      <c r="M507" s="1"/>
    </row>
    <row r="508" spans="1:13" x14ac:dyDescent="0.3">
      <c r="A508" t="s">
        <v>240</v>
      </c>
      <c r="B508" t="s">
        <v>92</v>
      </c>
      <c r="C508">
        <v>320</v>
      </c>
      <c r="D508" t="s">
        <v>60</v>
      </c>
      <c r="E508" t="s">
        <v>65</v>
      </c>
      <c r="F508">
        <v>0</v>
      </c>
      <c r="G508" t="s">
        <v>93</v>
      </c>
    </row>
    <row r="509" spans="1:13" x14ac:dyDescent="0.3">
      <c r="A509" t="s">
        <v>240</v>
      </c>
      <c r="B509" t="s">
        <v>95</v>
      </c>
      <c r="C509">
        <v>350</v>
      </c>
      <c r="D509" t="s">
        <v>31</v>
      </c>
      <c r="E509" t="s">
        <v>61</v>
      </c>
      <c r="F509" t="s">
        <v>96</v>
      </c>
    </row>
    <row r="510" spans="1:13" x14ac:dyDescent="0.3">
      <c r="A510" t="s">
        <v>240</v>
      </c>
      <c r="B510" t="s">
        <v>98</v>
      </c>
      <c r="C510" t="s">
        <v>60</v>
      </c>
      <c r="D510" t="s">
        <v>70</v>
      </c>
      <c r="E510" t="s">
        <v>80</v>
      </c>
    </row>
    <row r="511" spans="1:13" x14ac:dyDescent="0.3">
      <c r="A511" t="s">
        <v>240</v>
      </c>
      <c r="B511" t="s">
        <v>100</v>
      </c>
      <c r="C511" t="s">
        <v>31</v>
      </c>
      <c r="D511" t="s">
        <v>65</v>
      </c>
      <c r="E511" t="s">
        <v>66</v>
      </c>
      <c r="M511" s="1"/>
    </row>
    <row r="512" spans="1:13" x14ac:dyDescent="0.3">
      <c r="A512" t="s">
        <v>240</v>
      </c>
      <c r="B512" t="s">
        <v>102</v>
      </c>
      <c r="C512">
        <v>150</v>
      </c>
      <c r="D512" t="s">
        <v>60</v>
      </c>
      <c r="E512" t="s">
        <v>61</v>
      </c>
      <c r="F512" t="s">
        <v>103</v>
      </c>
    </row>
    <row r="513" spans="1:13" x14ac:dyDescent="0.3">
      <c r="A513" t="s">
        <v>240</v>
      </c>
      <c r="B513" t="s">
        <v>105</v>
      </c>
      <c r="C513" t="s">
        <v>31</v>
      </c>
      <c r="D513" t="s">
        <v>65</v>
      </c>
      <c r="E513" t="s">
        <v>106</v>
      </c>
    </row>
    <row r="514" spans="1:13" x14ac:dyDescent="0.3">
      <c r="A514" t="s">
        <v>240</v>
      </c>
      <c r="B514" t="s">
        <v>108</v>
      </c>
      <c r="C514">
        <v>250</v>
      </c>
      <c r="D514" t="s">
        <v>60</v>
      </c>
      <c r="E514" t="s">
        <v>61</v>
      </c>
      <c r="F514">
        <v>30</v>
      </c>
      <c r="G514" t="s">
        <v>93</v>
      </c>
    </row>
    <row r="515" spans="1:13" x14ac:dyDescent="0.3">
      <c r="A515" t="s">
        <v>240</v>
      </c>
      <c r="B515" t="s">
        <v>110</v>
      </c>
      <c r="C515">
        <v>150</v>
      </c>
      <c r="D515" t="s">
        <v>31</v>
      </c>
      <c r="E515" t="s">
        <v>70</v>
      </c>
      <c r="F515" t="s">
        <v>62</v>
      </c>
    </row>
    <row r="516" spans="1:13" x14ac:dyDescent="0.3">
      <c r="A516" t="s">
        <v>240</v>
      </c>
      <c r="B516" t="s">
        <v>112</v>
      </c>
      <c r="C516">
        <v>300</v>
      </c>
      <c r="D516" t="s">
        <v>60</v>
      </c>
      <c r="E516" t="s">
        <v>65</v>
      </c>
      <c r="F516" t="s">
        <v>80</v>
      </c>
    </row>
    <row r="517" spans="1:13" x14ac:dyDescent="0.3">
      <c r="A517" t="s">
        <v>240</v>
      </c>
      <c r="B517" t="s">
        <v>114</v>
      </c>
      <c r="C517">
        <v>3</v>
      </c>
      <c r="D517">
        <v>180</v>
      </c>
      <c r="E517" t="s">
        <v>31</v>
      </c>
      <c r="F517" t="s">
        <v>61</v>
      </c>
      <c r="G517">
        <v>10</v>
      </c>
      <c r="M517" s="1"/>
    </row>
    <row r="518" spans="1:13" x14ac:dyDescent="0.3">
      <c r="A518" t="s">
        <v>240</v>
      </c>
      <c r="B518" t="s">
        <v>117</v>
      </c>
      <c r="C518">
        <v>90</v>
      </c>
      <c r="D518" t="s">
        <v>60</v>
      </c>
      <c r="E518" t="s">
        <v>65</v>
      </c>
      <c r="F518">
        <v>0</v>
      </c>
      <c r="G518" t="s">
        <v>71</v>
      </c>
    </row>
    <row r="519" spans="1:13" x14ac:dyDescent="0.3">
      <c r="A519" t="s">
        <v>240</v>
      </c>
      <c r="B519" t="s">
        <v>119</v>
      </c>
      <c r="C519">
        <v>320</v>
      </c>
      <c r="D519" t="s">
        <v>31</v>
      </c>
      <c r="E519" t="s">
        <v>70</v>
      </c>
      <c r="F519" t="s">
        <v>120</v>
      </c>
    </row>
    <row r="520" spans="1:13" x14ac:dyDescent="0.3">
      <c r="A520" t="s">
        <v>240</v>
      </c>
      <c r="B520" t="s">
        <v>122</v>
      </c>
      <c r="C520">
        <v>120</v>
      </c>
      <c r="D520" t="s">
        <v>60</v>
      </c>
      <c r="E520" t="s">
        <v>61</v>
      </c>
      <c r="F520" t="s">
        <v>123</v>
      </c>
    </row>
    <row r="521" spans="1:13" x14ac:dyDescent="0.3">
      <c r="A521" t="s">
        <v>240</v>
      </c>
      <c r="B521" t="s">
        <v>125</v>
      </c>
      <c r="C521">
        <v>1</v>
      </c>
      <c r="D521">
        <v>450</v>
      </c>
      <c r="E521" t="s">
        <v>31</v>
      </c>
      <c r="F521" t="s">
        <v>65</v>
      </c>
      <c r="G521">
        <v>15</v>
      </c>
      <c r="M521" s="1"/>
    </row>
    <row r="522" spans="1:13" x14ac:dyDescent="0.3">
      <c r="A522" t="s">
        <v>240</v>
      </c>
      <c r="B522" t="s">
        <v>128</v>
      </c>
      <c r="C522">
        <v>260</v>
      </c>
      <c r="D522" t="s">
        <v>60</v>
      </c>
      <c r="E522" t="s">
        <v>61</v>
      </c>
      <c r="F522" t="s">
        <v>80</v>
      </c>
    </row>
    <row r="523" spans="1:13" x14ac:dyDescent="0.3">
      <c r="A523" t="s">
        <v>240</v>
      </c>
      <c r="B523" t="s">
        <v>130</v>
      </c>
      <c r="C523">
        <v>300</v>
      </c>
      <c r="D523" t="s">
        <v>31</v>
      </c>
      <c r="E523" t="s">
        <v>70</v>
      </c>
      <c r="F523" t="s">
        <v>66</v>
      </c>
    </row>
    <row r="524" spans="1:13" x14ac:dyDescent="0.3">
      <c r="A524" t="s">
        <v>240</v>
      </c>
      <c r="B524" t="s">
        <v>132</v>
      </c>
      <c r="C524">
        <v>200</v>
      </c>
      <c r="D524" t="s">
        <v>60</v>
      </c>
      <c r="E524" t="s">
        <v>65</v>
      </c>
      <c r="F524" t="s">
        <v>103</v>
      </c>
    </row>
    <row r="525" spans="1:13" x14ac:dyDescent="0.3">
      <c r="A525" t="s">
        <v>240</v>
      </c>
      <c r="B525" t="s">
        <v>134</v>
      </c>
      <c r="C525">
        <v>240</v>
      </c>
      <c r="D525" t="s">
        <v>31</v>
      </c>
      <c r="E525" t="s">
        <v>65</v>
      </c>
      <c r="F525">
        <v>10</v>
      </c>
      <c r="G525" t="s">
        <v>74</v>
      </c>
      <c r="M525" s="1"/>
    </row>
    <row r="526" spans="1:13" x14ac:dyDescent="0.3">
      <c r="A526" t="s">
        <v>240</v>
      </c>
      <c r="B526" t="s">
        <v>136</v>
      </c>
      <c r="C526">
        <v>320</v>
      </c>
      <c r="D526" t="s">
        <v>60</v>
      </c>
      <c r="E526" t="s">
        <v>61</v>
      </c>
      <c r="F526" t="s">
        <v>123</v>
      </c>
    </row>
    <row r="527" spans="1:13" x14ac:dyDescent="0.3">
      <c r="A527" t="s">
        <v>240</v>
      </c>
      <c r="B527" t="s">
        <v>138</v>
      </c>
      <c r="C527">
        <v>200</v>
      </c>
      <c r="D527" t="s">
        <v>31</v>
      </c>
      <c r="E527" t="s">
        <v>61</v>
      </c>
      <c r="F527" t="s">
        <v>62</v>
      </c>
    </row>
    <row r="528" spans="1:13" x14ac:dyDescent="0.3">
      <c r="A528" t="s">
        <v>240</v>
      </c>
      <c r="B528" t="s">
        <v>140</v>
      </c>
      <c r="C528">
        <v>250</v>
      </c>
      <c r="D528" t="s">
        <v>60</v>
      </c>
      <c r="E528" t="s">
        <v>65</v>
      </c>
      <c r="F528" t="s">
        <v>141</v>
      </c>
    </row>
    <row r="529" spans="1:13" x14ac:dyDescent="0.3">
      <c r="A529" t="s">
        <v>240</v>
      </c>
      <c r="B529" t="s">
        <v>143</v>
      </c>
      <c r="C529">
        <v>180</v>
      </c>
      <c r="D529" t="s">
        <v>31</v>
      </c>
      <c r="E529" t="s">
        <v>70</v>
      </c>
      <c r="F529" t="s">
        <v>86</v>
      </c>
    </row>
    <row r="530" spans="1:13" x14ac:dyDescent="0.3">
      <c r="A530" t="s">
        <v>240</v>
      </c>
      <c r="B530" t="s">
        <v>145</v>
      </c>
      <c r="C530">
        <v>200</v>
      </c>
      <c r="D530" t="s">
        <v>60</v>
      </c>
      <c r="E530" t="s">
        <v>65</v>
      </c>
      <c r="F530" t="s">
        <v>103</v>
      </c>
    </row>
    <row r="531" spans="1:13" x14ac:dyDescent="0.3">
      <c r="A531" t="s">
        <v>240</v>
      </c>
      <c r="B531" t="s">
        <v>76</v>
      </c>
      <c r="C531">
        <v>500</v>
      </c>
      <c r="D531" t="s">
        <v>31</v>
      </c>
      <c r="E531" t="s">
        <v>61</v>
      </c>
      <c r="F531">
        <v>15</v>
      </c>
      <c r="G531" t="s">
        <v>74</v>
      </c>
      <c r="M531" s="1"/>
    </row>
    <row r="532" spans="1:13" x14ac:dyDescent="0.3">
      <c r="A532" t="s">
        <v>240</v>
      </c>
      <c r="B532" t="s">
        <v>148</v>
      </c>
      <c r="C532">
        <v>180</v>
      </c>
      <c r="D532" t="s">
        <v>60</v>
      </c>
      <c r="E532" t="s">
        <v>65</v>
      </c>
      <c r="F532" t="s">
        <v>123</v>
      </c>
    </row>
    <row r="533" spans="1:13" x14ac:dyDescent="0.3">
      <c r="A533" t="s">
        <v>240</v>
      </c>
      <c r="B533" t="s">
        <v>150</v>
      </c>
      <c r="C533">
        <v>450</v>
      </c>
      <c r="D533" t="s">
        <v>31</v>
      </c>
      <c r="E533" t="s">
        <v>70</v>
      </c>
      <c r="F533" t="s">
        <v>151</v>
      </c>
    </row>
    <row r="534" spans="1:13" x14ac:dyDescent="0.3">
      <c r="A534" t="s">
        <v>240</v>
      </c>
      <c r="B534" t="s">
        <v>95</v>
      </c>
      <c r="C534">
        <v>300</v>
      </c>
      <c r="D534" t="s">
        <v>60</v>
      </c>
      <c r="E534" t="s">
        <v>61</v>
      </c>
      <c r="F534" t="s">
        <v>80</v>
      </c>
    </row>
    <row r="535" spans="1:13" x14ac:dyDescent="0.3">
      <c r="A535" t="s">
        <v>240</v>
      </c>
      <c r="B535" t="s">
        <v>154</v>
      </c>
      <c r="C535">
        <v>260</v>
      </c>
      <c r="D535" t="s">
        <v>31</v>
      </c>
      <c r="E535" t="s">
        <v>65</v>
      </c>
      <c r="F535" t="s">
        <v>86</v>
      </c>
    </row>
    <row r="536" spans="1:13" x14ac:dyDescent="0.3">
      <c r="A536" t="s">
        <v>240</v>
      </c>
      <c r="B536" t="s">
        <v>156</v>
      </c>
      <c r="C536">
        <v>350</v>
      </c>
      <c r="D536" t="s">
        <v>60</v>
      </c>
      <c r="E536" t="s">
        <v>61</v>
      </c>
      <c r="F536" t="s">
        <v>157</v>
      </c>
    </row>
    <row r="537" spans="1:13" x14ac:dyDescent="0.3">
      <c r="A537" t="s">
        <v>240</v>
      </c>
      <c r="B537" t="s">
        <v>159</v>
      </c>
      <c r="C537">
        <v>420</v>
      </c>
      <c r="D537" t="s">
        <v>31</v>
      </c>
      <c r="E537" t="s">
        <v>70</v>
      </c>
      <c r="F537">
        <v>0</v>
      </c>
      <c r="G537" t="s">
        <v>74</v>
      </c>
      <c r="M537" s="1"/>
    </row>
    <row r="538" spans="1:13" x14ac:dyDescent="0.3">
      <c r="A538" t="s">
        <v>240</v>
      </c>
      <c r="B538" t="s">
        <v>161</v>
      </c>
      <c r="C538">
        <v>500</v>
      </c>
      <c r="D538" t="s">
        <v>60</v>
      </c>
      <c r="E538" t="s">
        <v>65</v>
      </c>
      <c r="F538" t="s">
        <v>123</v>
      </c>
    </row>
    <row r="539" spans="1:13" x14ac:dyDescent="0.3">
      <c r="A539" t="s">
        <v>240</v>
      </c>
      <c r="B539" t="s">
        <v>163</v>
      </c>
      <c r="C539">
        <v>220</v>
      </c>
      <c r="D539" t="s">
        <v>31</v>
      </c>
      <c r="E539" t="s">
        <v>65</v>
      </c>
      <c r="F539" t="s">
        <v>164</v>
      </c>
    </row>
    <row r="540" spans="1:13" x14ac:dyDescent="0.3">
      <c r="A540" t="s">
        <v>240</v>
      </c>
      <c r="B540" t="s">
        <v>166</v>
      </c>
      <c r="C540">
        <v>180</v>
      </c>
      <c r="D540" t="s">
        <v>60</v>
      </c>
      <c r="E540" t="s">
        <v>70</v>
      </c>
      <c r="F540" t="s">
        <v>80</v>
      </c>
    </row>
    <row r="541" spans="1:13" x14ac:dyDescent="0.3">
      <c r="A541" t="s">
        <v>240</v>
      </c>
      <c r="B541" t="s">
        <v>168</v>
      </c>
      <c r="C541">
        <v>280</v>
      </c>
      <c r="D541" t="s">
        <v>31</v>
      </c>
      <c r="E541" t="s">
        <v>61</v>
      </c>
      <c r="F541">
        <v>0</v>
      </c>
      <c r="G541" t="s">
        <v>115</v>
      </c>
      <c r="M541" s="1"/>
    </row>
    <row r="542" spans="1:13" x14ac:dyDescent="0.3">
      <c r="A542" t="s">
        <v>240</v>
      </c>
      <c r="B542" t="s">
        <v>76</v>
      </c>
      <c r="C542">
        <v>500</v>
      </c>
      <c r="D542" t="s">
        <v>60</v>
      </c>
      <c r="E542" t="s">
        <v>61</v>
      </c>
      <c r="F542" t="s">
        <v>170</v>
      </c>
    </row>
    <row r="543" spans="1:13" x14ac:dyDescent="0.3">
      <c r="A543" t="s">
        <v>240</v>
      </c>
      <c r="B543" t="s">
        <v>172</v>
      </c>
      <c r="C543">
        <v>160</v>
      </c>
      <c r="D543" t="s">
        <v>31</v>
      </c>
      <c r="E543" t="s">
        <v>70</v>
      </c>
      <c r="F543" t="s">
        <v>106</v>
      </c>
    </row>
    <row r="544" spans="1:13" x14ac:dyDescent="0.3">
      <c r="A544" t="s">
        <v>240</v>
      </c>
      <c r="B544" t="s">
        <v>174</v>
      </c>
      <c r="C544">
        <v>380</v>
      </c>
      <c r="D544" t="s">
        <v>60</v>
      </c>
      <c r="E544" t="s">
        <v>65</v>
      </c>
      <c r="F544" t="s">
        <v>123</v>
      </c>
    </row>
    <row r="545" spans="1:13" x14ac:dyDescent="0.3">
      <c r="A545" t="s">
        <v>240</v>
      </c>
      <c r="B545" t="s">
        <v>176</v>
      </c>
      <c r="C545">
        <v>200</v>
      </c>
      <c r="D545" t="s">
        <v>31</v>
      </c>
      <c r="E545" t="s">
        <v>65</v>
      </c>
      <c r="F545">
        <v>10</v>
      </c>
      <c r="G545" t="s">
        <v>126</v>
      </c>
      <c r="M545" s="1"/>
    </row>
    <row r="546" spans="1:13" x14ac:dyDescent="0.3">
      <c r="A546" t="s">
        <v>240</v>
      </c>
      <c r="B546" t="s">
        <v>178</v>
      </c>
      <c r="C546">
        <v>140</v>
      </c>
      <c r="D546" t="s">
        <v>60</v>
      </c>
      <c r="E546" t="s">
        <v>61</v>
      </c>
      <c r="F546" t="s">
        <v>80</v>
      </c>
    </row>
    <row r="547" spans="1:13" x14ac:dyDescent="0.3">
      <c r="A547" t="s">
        <v>240</v>
      </c>
      <c r="B547" t="s">
        <v>90</v>
      </c>
      <c r="C547">
        <v>100</v>
      </c>
      <c r="D547" t="s">
        <v>31</v>
      </c>
      <c r="E547" t="s">
        <v>65</v>
      </c>
      <c r="F547" t="s">
        <v>86</v>
      </c>
    </row>
    <row r="548" spans="1:13" x14ac:dyDescent="0.3">
      <c r="A548" t="s">
        <v>240</v>
      </c>
      <c r="B548" t="s">
        <v>73</v>
      </c>
      <c r="C548" t="s">
        <v>31</v>
      </c>
      <c r="D548" t="s">
        <v>65</v>
      </c>
      <c r="E548" t="s">
        <v>151</v>
      </c>
    </row>
    <row r="549" spans="1:13" x14ac:dyDescent="0.3">
      <c r="A549" t="s">
        <v>240</v>
      </c>
      <c r="B549" t="s">
        <v>161</v>
      </c>
      <c r="C549">
        <v>500</v>
      </c>
      <c r="D549" t="s">
        <v>60</v>
      </c>
      <c r="E549" t="s">
        <v>61</v>
      </c>
      <c r="F549">
        <v>0</v>
      </c>
      <c r="G549" t="s">
        <v>115</v>
      </c>
    </row>
    <row r="550" spans="1:13" x14ac:dyDescent="0.3">
      <c r="A550" t="s">
        <v>240</v>
      </c>
      <c r="B550" t="s">
        <v>163</v>
      </c>
      <c r="C550">
        <v>220</v>
      </c>
      <c r="D550" t="s">
        <v>31</v>
      </c>
      <c r="E550" t="s">
        <v>70</v>
      </c>
      <c r="F550">
        <v>0</v>
      </c>
      <c r="G550" t="s">
        <v>71</v>
      </c>
    </row>
    <row r="551" spans="1:13" x14ac:dyDescent="0.3">
      <c r="A551" t="s">
        <v>240</v>
      </c>
      <c r="B551" t="s">
        <v>166</v>
      </c>
      <c r="C551">
        <v>180</v>
      </c>
      <c r="D551" t="s">
        <v>60</v>
      </c>
      <c r="E551" t="s">
        <v>65</v>
      </c>
      <c r="F551">
        <v>0</v>
      </c>
      <c r="G551" t="s">
        <v>74</v>
      </c>
    </row>
    <row r="552" spans="1:13" x14ac:dyDescent="0.3">
      <c r="A552" t="s">
        <v>240</v>
      </c>
      <c r="B552" t="s">
        <v>168</v>
      </c>
      <c r="C552">
        <v>280</v>
      </c>
      <c r="D552" t="s">
        <v>31</v>
      </c>
      <c r="E552" t="s">
        <v>61</v>
      </c>
      <c r="F552" t="s">
        <v>77</v>
      </c>
    </row>
    <row r="553" spans="1:13" x14ac:dyDescent="0.3">
      <c r="A553" t="s">
        <v>240</v>
      </c>
      <c r="B553" t="s">
        <v>76</v>
      </c>
      <c r="C553">
        <v>500</v>
      </c>
      <c r="D553" t="s">
        <v>60</v>
      </c>
      <c r="E553" t="s">
        <v>65</v>
      </c>
      <c r="F553" t="s">
        <v>80</v>
      </c>
    </row>
    <row r="554" spans="1:13" x14ac:dyDescent="0.3">
      <c r="A554" t="s">
        <v>240</v>
      </c>
      <c r="B554" t="s">
        <v>172</v>
      </c>
      <c r="C554">
        <v>160</v>
      </c>
      <c r="D554" t="s">
        <v>31</v>
      </c>
      <c r="E554" t="s">
        <v>70</v>
      </c>
      <c r="F554">
        <v>15</v>
      </c>
      <c r="G554" t="s">
        <v>126</v>
      </c>
    </row>
    <row r="555" spans="1:13" x14ac:dyDescent="0.3">
      <c r="A555" t="s">
        <v>240</v>
      </c>
      <c r="B555" t="s">
        <v>188</v>
      </c>
      <c r="C555" t="s">
        <v>60</v>
      </c>
      <c r="D555" t="s">
        <v>61</v>
      </c>
      <c r="E555" t="s">
        <v>86</v>
      </c>
      <c r="M555" s="1"/>
    </row>
    <row r="556" spans="1:13" x14ac:dyDescent="0.3">
      <c r="A556" t="s">
        <v>240</v>
      </c>
      <c r="B556" t="s">
        <v>190</v>
      </c>
      <c r="C556" t="s">
        <v>31</v>
      </c>
      <c r="D556" t="s">
        <v>65</v>
      </c>
      <c r="E556">
        <v>0</v>
      </c>
      <c r="F556" t="s">
        <v>71</v>
      </c>
    </row>
    <row r="557" spans="1:13" x14ac:dyDescent="0.3">
      <c r="A557" t="s">
        <v>240</v>
      </c>
      <c r="B557" t="s">
        <v>178</v>
      </c>
      <c r="C557">
        <v>140</v>
      </c>
      <c r="D557" t="s">
        <v>60</v>
      </c>
      <c r="E557" t="s">
        <v>65</v>
      </c>
      <c r="F557">
        <v>20</v>
      </c>
      <c r="G557" t="s">
        <v>74</v>
      </c>
      <c r="M557" s="1"/>
    </row>
    <row r="558" spans="1:13" x14ac:dyDescent="0.3">
      <c r="A558" t="s">
        <v>240</v>
      </c>
      <c r="B558" t="s">
        <v>90</v>
      </c>
      <c r="C558">
        <v>100</v>
      </c>
      <c r="D558" t="s">
        <v>31</v>
      </c>
      <c r="E558" t="s">
        <v>70</v>
      </c>
      <c r="F558">
        <v>0</v>
      </c>
      <c r="G558" t="s">
        <v>93</v>
      </c>
    </row>
    <row r="559" spans="1:13" x14ac:dyDescent="0.3">
      <c r="A559" t="s">
        <v>240</v>
      </c>
      <c r="B559" t="s">
        <v>92</v>
      </c>
      <c r="C559">
        <v>320</v>
      </c>
      <c r="D559" t="s">
        <v>60</v>
      </c>
      <c r="E559" t="s">
        <v>61</v>
      </c>
      <c r="F559" t="s">
        <v>62</v>
      </c>
    </row>
    <row r="560" spans="1:13" x14ac:dyDescent="0.3">
      <c r="A560" t="s">
        <v>240</v>
      </c>
      <c r="B560" t="s">
        <v>95</v>
      </c>
      <c r="C560">
        <v>350</v>
      </c>
      <c r="D560" t="s">
        <v>31</v>
      </c>
      <c r="E560" t="s">
        <v>65</v>
      </c>
      <c r="F560">
        <v>25</v>
      </c>
      <c r="G560" t="s">
        <v>195</v>
      </c>
    </row>
    <row r="561" spans="1:13" x14ac:dyDescent="0.3">
      <c r="A561" t="s">
        <v>240</v>
      </c>
      <c r="B561" t="s">
        <v>98</v>
      </c>
      <c r="C561" t="s">
        <v>60</v>
      </c>
      <c r="D561" t="s">
        <v>65</v>
      </c>
      <c r="E561" t="s">
        <v>86</v>
      </c>
      <c r="M561" s="1"/>
    </row>
    <row r="562" spans="1:13" x14ac:dyDescent="0.3">
      <c r="A562" t="s">
        <v>240</v>
      </c>
      <c r="B562" t="s">
        <v>198</v>
      </c>
      <c r="C562">
        <v>300</v>
      </c>
      <c r="D562" t="s">
        <v>31</v>
      </c>
      <c r="E562" t="s">
        <v>61</v>
      </c>
      <c r="F562" t="s">
        <v>103</v>
      </c>
    </row>
    <row r="563" spans="1:13" x14ac:dyDescent="0.3">
      <c r="A563" t="s">
        <v>240</v>
      </c>
      <c r="B563" t="s">
        <v>102</v>
      </c>
      <c r="C563">
        <v>150</v>
      </c>
      <c r="D563" t="s">
        <v>60</v>
      </c>
      <c r="E563" t="s">
        <v>65</v>
      </c>
      <c r="F563">
        <v>10</v>
      </c>
      <c r="G563" t="s">
        <v>74</v>
      </c>
    </row>
    <row r="564" spans="1:13" x14ac:dyDescent="0.3">
      <c r="A564" t="s">
        <v>240</v>
      </c>
      <c r="B564" t="s">
        <v>201</v>
      </c>
      <c r="C564">
        <v>400</v>
      </c>
      <c r="D564" t="s">
        <v>31</v>
      </c>
      <c r="E564" t="s">
        <v>70</v>
      </c>
      <c r="F564">
        <v>0</v>
      </c>
      <c r="G564" t="s">
        <v>93</v>
      </c>
    </row>
    <row r="565" spans="1:13" x14ac:dyDescent="0.3">
      <c r="A565" t="s">
        <v>240</v>
      </c>
      <c r="B565" t="s">
        <v>108</v>
      </c>
      <c r="C565">
        <v>250</v>
      </c>
      <c r="D565" t="s">
        <v>60</v>
      </c>
      <c r="E565" t="s">
        <v>61</v>
      </c>
      <c r="F565" t="s">
        <v>62</v>
      </c>
    </row>
    <row r="566" spans="1:13" x14ac:dyDescent="0.3">
      <c r="A566" t="s">
        <v>240</v>
      </c>
      <c r="B566" t="s">
        <v>110</v>
      </c>
      <c r="C566">
        <v>150</v>
      </c>
      <c r="D566" t="s">
        <v>31</v>
      </c>
      <c r="E566" t="s">
        <v>65</v>
      </c>
      <c r="F566" t="s">
        <v>204</v>
      </c>
    </row>
    <row r="567" spans="1:13" x14ac:dyDescent="0.3">
      <c r="A567" t="s">
        <v>240</v>
      </c>
      <c r="B567" t="s">
        <v>112</v>
      </c>
      <c r="C567">
        <v>300</v>
      </c>
      <c r="D567" t="s">
        <v>60</v>
      </c>
      <c r="E567" t="s">
        <v>65</v>
      </c>
      <c r="F567">
        <v>0</v>
      </c>
      <c r="G567" t="s">
        <v>115</v>
      </c>
      <c r="M567" s="1"/>
    </row>
    <row r="568" spans="1:13" x14ac:dyDescent="0.3">
      <c r="A568" t="s">
        <v>240</v>
      </c>
      <c r="B568" t="s">
        <v>207</v>
      </c>
      <c r="C568">
        <v>180</v>
      </c>
      <c r="D568" t="s">
        <v>31</v>
      </c>
      <c r="E568" t="s">
        <v>61</v>
      </c>
      <c r="F568" t="s">
        <v>103</v>
      </c>
    </row>
    <row r="569" spans="1:13" x14ac:dyDescent="0.3">
      <c r="A569" t="s">
        <v>240</v>
      </c>
      <c r="B569" t="s">
        <v>117</v>
      </c>
      <c r="C569">
        <v>90</v>
      </c>
      <c r="D569" t="s">
        <v>60</v>
      </c>
      <c r="E569" t="s">
        <v>65</v>
      </c>
      <c r="F569" t="s">
        <v>120</v>
      </c>
    </row>
    <row r="570" spans="1:13" x14ac:dyDescent="0.3">
      <c r="A570" t="s">
        <v>240</v>
      </c>
      <c r="B570" t="s">
        <v>119</v>
      </c>
      <c r="C570">
        <v>320</v>
      </c>
      <c r="D570" t="s">
        <v>31</v>
      </c>
      <c r="E570" t="s">
        <v>70</v>
      </c>
      <c r="F570">
        <v>0</v>
      </c>
      <c r="G570" t="s">
        <v>93</v>
      </c>
    </row>
    <row r="571" spans="1:13" x14ac:dyDescent="0.3">
      <c r="A571" t="s">
        <v>240</v>
      </c>
      <c r="B571" t="s">
        <v>122</v>
      </c>
      <c r="C571">
        <v>120</v>
      </c>
      <c r="D571" t="s">
        <v>60</v>
      </c>
      <c r="E571" t="s">
        <v>65</v>
      </c>
      <c r="F571">
        <v>0</v>
      </c>
      <c r="G571" t="s">
        <v>126</v>
      </c>
      <c r="M571" s="1"/>
    </row>
    <row r="572" spans="1:13" x14ac:dyDescent="0.3">
      <c r="A572" t="s">
        <v>240</v>
      </c>
      <c r="B572" t="s">
        <v>212</v>
      </c>
      <c r="C572">
        <v>450</v>
      </c>
      <c r="D572" t="s">
        <v>31</v>
      </c>
      <c r="E572" t="s">
        <v>61</v>
      </c>
      <c r="F572">
        <v>10</v>
      </c>
      <c r="G572" t="s">
        <v>195</v>
      </c>
    </row>
    <row r="573" spans="1:13" x14ac:dyDescent="0.3">
      <c r="A573" t="s">
        <v>240</v>
      </c>
      <c r="B573" t="s">
        <v>128</v>
      </c>
      <c r="C573">
        <v>260</v>
      </c>
      <c r="D573" t="s">
        <v>60</v>
      </c>
      <c r="E573" t="s">
        <v>61</v>
      </c>
      <c r="F573" t="s">
        <v>86</v>
      </c>
    </row>
    <row r="574" spans="1:13" x14ac:dyDescent="0.3">
      <c r="A574" t="s">
        <v>240</v>
      </c>
      <c r="B574" t="s">
        <v>130</v>
      </c>
      <c r="C574">
        <v>300</v>
      </c>
      <c r="D574" t="s">
        <v>31</v>
      </c>
      <c r="E574" t="s">
        <v>70</v>
      </c>
      <c r="F574" t="s">
        <v>103</v>
      </c>
    </row>
    <row r="575" spans="1:13" x14ac:dyDescent="0.3">
      <c r="A575" t="s">
        <v>240</v>
      </c>
      <c r="B575" t="s">
        <v>132</v>
      </c>
      <c r="C575">
        <v>200</v>
      </c>
      <c r="D575" t="s">
        <v>60</v>
      </c>
      <c r="E575" t="s">
        <v>65</v>
      </c>
      <c r="F575">
        <v>25</v>
      </c>
      <c r="G575" t="s">
        <v>74</v>
      </c>
      <c r="M575" s="1"/>
    </row>
    <row r="576" spans="1:13" x14ac:dyDescent="0.3">
      <c r="A576" t="s">
        <v>240</v>
      </c>
      <c r="B576" t="s">
        <v>134</v>
      </c>
      <c r="C576">
        <v>240</v>
      </c>
      <c r="D576" t="s">
        <v>31</v>
      </c>
      <c r="E576" t="s">
        <v>65</v>
      </c>
      <c r="F576">
        <v>0</v>
      </c>
      <c r="G576" t="s">
        <v>93</v>
      </c>
    </row>
    <row r="577" spans="1:6" x14ac:dyDescent="0.3">
      <c r="A577" t="s">
        <v>240</v>
      </c>
      <c r="B577" t="s">
        <v>136</v>
      </c>
      <c r="C577">
        <v>320</v>
      </c>
      <c r="D577" t="s">
        <v>60</v>
      </c>
      <c r="E577" t="s">
        <v>61</v>
      </c>
      <c r="F577" t="s">
        <v>62</v>
      </c>
    </row>
    <row r="578" spans="1:6" x14ac:dyDescent="0.3">
      <c r="A578" t="s">
        <v>240</v>
      </c>
      <c r="B578" t="s">
        <v>138</v>
      </c>
      <c r="C578">
        <v>200</v>
      </c>
      <c r="D578" t="s">
        <v>31</v>
      </c>
      <c r="E578" t="s">
        <v>65</v>
      </c>
      <c r="F578" t="s">
        <v>80</v>
      </c>
    </row>
    <row r="579" spans="1:6" x14ac:dyDescent="0.3">
      <c r="A579" t="s">
        <v>240</v>
      </c>
      <c r="B579" t="s">
        <v>140</v>
      </c>
      <c r="C579">
        <v>250</v>
      </c>
      <c r="D579" t="s">
        <v>60</v>
      </c>
      <c r="E579" t="s">
        <v>70</v>
      </c>
      <c r="F579" t="s">
        <v>220</v>
      </c>
    </row>
    <row r="580" spans="1:6" x14ac:dyDescent="0.3">
      <c r="A580" t="s">
        <v>240</v>
      </c>
      <c r="B580" t="s">
        <v>143</v>
      </c>
      <c r="C580">
        <v>180</v>
      </c>
      <c r="D580" t="s">
        <v>31</v>
      </c>
      <c r="E580" t="s">
        <v>65</v>
      </c>
      <c r="F580" t="s">
        <v>103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7FB1-115E-4CF6-A962-C67968D41A25}">
  <sheetPr>
    <tabColor rgb="FFFF0000"/>
  </sheetPr>
  <dimension ref="A1:N580"/>
  <sheetViews>
    <sheetView zoomScaleNormal="100" workbookViewId="0">
      <selection activeCell="J1" sqref="J1"/>
    </sheetView>
  </sheetViews>
  <sheetFormatPr defaultRowHeight="14.4" x14ac:dyDescent="0.3"/>
  <cols>
    <col min="1" max="1" width="28.109375" customWidth="1"/>
    <col min="2" max="2" width="47.88671875" customWidth="1"/>
    <col min="3" max="4" width="18.77734375" customWidth="1"/>
    <col min="5" max="5" width="10.44140625" customWidth="1"/>
    <col min="6" max="6" width="12.109375" customWidth="1"/>
    <col min="7" max="7" width="14.33203125" customWidth="1"/>
    <col min="8" max="8" width="15.6640625" bestFit="1" customWidth="1"/>
    <col min="10" max="10" width="1.6640625" customWidth="1"/>
    <col min="14" max="14" width="4" customWidth="1"/>
  </cols>
  <sheetData>
    <row r="1" spans="1:14" ht="18" x14ac:dyDescent="0.35">
      <c r="A1" t="s">
        <v>3</v>
      </c>
      <c r="B1" t="s">
        <v>4</v>
      </c>
      <c r="C1" t="s">
        <v>0</v>
      </c>
      <c r="D1" t="s">
        <v>5</v>
      </c>
      <c r="E1" t="s">
        <v>6</v>
      </c>
      <c r="F1" t="s">
        <v>7</v>
      </c>
      <c r="G1" t="s">
        <v>8</v>
      </c>
      <c r="H1" t="s">
        <v>9</v>
      </c>
      <c r="J1" s="14"/>
      <c r="K1" s="15"/>
      <c r="L1" s="16"/>
      <c r="M1" s="16"/>
      <c r="N1" s="14"/>
    </row>
    <row r="2" spans="1:14" x14ac:dyDescent="0.3">
      <c r="A2" t="s">
        <v>10</v>
      </c>
      <c r="B2" t="s">
        <v>11</v>
      </c>
      <c r="J2" s="14"/>
      <c r="K2" s="14"/>
      <c r="L2" s="14"/>
      <c r="M2" s="14"/>
      <c r="N2" s="14"/>
    </row>
    <row r="3" spans="1:14" ht="21" x14ac:dyDescent="0.4">
      <c r="A3" t="s">
        <v>12</v>
      </c>
      <c r="B3" t="s">
        <v>13</v>
      </c>
      <c r="C3">
        <v>1</v>
      </c>
      <c r="D3">
        <v>350</v>
      </c>
      <c r="E3" t="s">
        <v>14</v>
      </c>
      <c r="F3" t="s">
        <v>15</v>
      </c>
      <c r="G3" t="s">
        <v>16</v>
      </c>
      <c r="J3" s="14"/>
      <c r="K3" s="17"/>
      <c r="L3" s="14"/>
      <c r="M3" s="14"/>
      <c r="N3" s="14"/>
    </row>
    <row r="4" spans="1:14" x14ac:dyDescent="0.3">
      <c r="A4" t="s">
        <v>17</v>
      </c>
      <c r="B4" t="s">
        <v>18</v>
      </c>
      <c r="C4">
        <v>200</v>
      </c>
      <c r="D4" t="s">
        <v>19</v>
      </c>
      <c r="E4">
        <v>0</v>
      </c>
      <c r="F4" t="s">
        <v>20</v>
      </c>
    </row>
    <row r="5" spans="1:14" x14ac:dyDescent="0.3">
      <c r="A5" t="s">
        <v>21</v>
      </c>
      <c r="B5" t="s">
        <v>22</v>
      </c>
      <c r="C5" t="s">
        <v>23</v>
      </c>
    </row>
    <row r="6" spans="1:14" x14ac:dyDescent="0.3">
      <c r="A6" t="s">
        <v>24</v>
      </c>
      <c r="B6" t="s">
        <v>25</v>
      </c>
      <c r="C6" t="s">
        <v>26</v>
      </c>
      <c r="D6" t="s">
        <v>27</v>
      </c>
      <c r="E6">
        <v>0</v>
      </c>
      <c r="F6" t="s">
        <v>28</v>
      </c>
    </row>
    <row r="7" spans="1:14" x14ac:dyDescent="0.3">
      <c r="A7" t="s">
        <v>29</v>
      </c>
      <c r="B7" t="s">
        <v>30</v>
      </c>
      <c r="C7" t="s">
        <v>31</v>
      </c>
      <c r="D7" t="s">
        <v>32</v>
      </c>
    </row>
    <row r="8" spans="1:14" x14ac:dyDescent="0.3">
      <c r="A8" t="s">
        <v>33</v>
      </c>
      <c r="B8" t="s">
        <v>34</v>
      </c>
      <c r="C8" t="s">
        <v>35</v>
      </c>
      <c r="D8" t="s">
        <v>36</v>
      </c>
    </row>
    <row r="9" spans="1:14" x14ac:dyDescent="0.3">
      <c r="A9" t="s">
        <v>37</v>
      </c>
      <c r="B9" t="s">
        <v>38</v>
      </c>
      <c r="C9" t="s">
        <v>39</v>
      </c>
    </row>
    <row r="10" spans="1:14" x14ac:dyDescent="0.3">
      <c r="A10" t="s">
        <v>40</v>
      </c>
      <c r="B10" t="s">
        <v>41</v>
      </c>
      <c r="C10" t="s">
        <v>42</v>
      </c>
    </row>
    <row r="11" spans="1:14" x14ac:dyDescent="0.3">
      <c r="A11" t="s">
        <v>43</v>
      </c>
      <c r="B11" t="s">
        <v>44</v>
      </c>
    </row>
    <row r="12" spans="1:14" x14ac:dyDescent="0.3">
      <c r="A12" t="s">
        <v>45</v>
      </c>
      <c r="B12" t="s">
        <v>46</v>
      </c>
    </row>
    <row r="13" spans="1:14" x14ac:dyDescent="0.3">
      <c r="A13" t="s">
        <v>47</v>
      </c>
      <c r="B13" t="s">
        <v>48</v>
      </c>
    </row>
    <row r="14" spans="1:14" x14ac:dyDescent="0.3">
      <c r="A14" t="s">
        <v>49</v>
      </c>
      <c r="B14" t="s">
        <v>50</v>
      </c>
    </row>
    <row r="15" spans="1:14" x14ac:dyDescent="0.3">
      <c r="A15" t="s">
        <v>51</v>
      </c>
      <c r="B15" t="s">
        <v>52</v>
      </c>
      <c r="C15" t="s">
        <v>53</v>
      </c>
    </row>
    <row r="16" spans="1:14" x14ac:dyDescent="0.3">
      <c r="A16" t="s">
        <v>54</v>
      </c>
      <c r="B16" t="s">
        <v>55</v>
      </c>
      <c r="C16" t="s">
        <v>56</v>
      </c>
      <c r="D16">
        <v>30</v>
      </c>
      <c r="E16" t="s">
        <v>57</v>
      </c>
    </row>
    <row r="17" spans="1:7" x14ac:dyDescent="0.3">
      <c r="A17" t="s">
        <v>58</v>
      </c>
      <c r="B17" t="s">
        <v>59</v>
      </c>
      <c r="C17" t="s">
        <v>60</v>
      </c>
      <c r="D17" t="s">
        <v>61</v>
      </c>
      <c r="E17" t="s">
        <v>62</v>
      </c>
    </row>
    <row r="18" spans="1:7" x14ac:dyDescent="0.3">
      <c r="A18" t="s">
        <v>63</v>
      </c>
      <c r="B18" t="s">
        <v>64</v>
      </c>
      <c r="C18" t="s">
        <v>31</v>
      </c>
      <c r="D18" t="s">
        <v>65</v>
      </c>
      <c r="E18" t="s">
        <v>66</v>
      </c>
    </row>
    <row r="19" spans="1:7" x14ac:dyDescent="0.3">
      <c r="A19" t="s">
        <v>67</v>
      </c>
      <c r="B19" t="s">
        <v>68</v>
      </c>
      <c r="C19" t="s">
        <v>69</v>
      </c>
      <c r="D19" t="s">
        <v>60</v>
      </c>
      <c r="E19" t="s">
        <v>70</v>
      </c>
      <c r="F19">
        <v>0</v>
      </c>
      <c r="G19" t="s">
        <v>71</v>
      </c>
    </row>
    <row r="20" spans="1:7" x14ac:dyDescent="0.3">
      <c r="A20" t="s">
        <v>72</v>
      </c>
      <c r="B20" t="s">
        <v>73</v>
      </c>
      <c r="C20" t="s">
        <v>31</v>
      </c>
      <c r="D20" t="s">
        <v>65</v>
      </c>
      <c r="E20">
        <v>0</v>
      </c>
      <c r="F20" t="s">
        <v>74</v>
      </c>
    </row>
    <row r="21" spans="1:7" x14ac:dyDescent="0.3">
      <c r="A21" t="s">
        <v>75</v>
      </c>
      <c r="B21" t="s">
        <v>76</v>
      </c>
      <c r="C21">
        <v>500</v>
      </c>
      <c r="D21" t="s">
        <v>60</v>
      </c>
      <c r="E21" t="s">
        <v>61</v>
      </c>
      <c r="F21" t="s">
        <v>77</v>
      </c>
    </row>
    <row r="22" spans="1:7" x14ac:dyDescent="0.3">
      <c r="A22" t="s">
        <v>78</v>
      </c>
      <c r="B22" t="s">
        <v>79</v>
      </c>
      <c r="C22">
        <v>1</v>
      </c>
      <c r="D22">
        <v>160</v>
      </c>
      <c r="E22" t="s">
        <v>31</v>
      </c>
      <c r="F22" t="s">
        <v>70</v>
      </c>
      <c r="G22" t="s">
        <v>80</v>
      </c>
    </row>
    <row r="23" spans="1:7" x14ac:dyDescent="0.3">
      <c r="A23" t="s">
        <v>81</v>
      </c>
      <c r="B23" t="s">
        <v>82</v>
      </c>
      <c r="C23" t="s">
        <v>60</v>
      </c>
      <c r="D23" t="s">
        <v>65</v>
      </c>
      <c r="E23" t="s">
        <v>83</v>
      </c>
    </row>
    <row r="24" spans="1:7" x14ac:dyDescent="0.3">
      <c r="A24" t="s">
        <v>84</v>
      </c>
      <c r="B24" t="s">
        <v>85</v>
      </c>
      <c r="C24" t="s">
        <v>31</v>
      </c>
      <c r="D24" t="s">
        <v>61</v>
      </c>
      <c r="E24" t="s">
        <v>86</v>
      </c>
    </row>
    <row r="25" spans="1:7" x14ac:dyDescent="0.3">
      <c r="A25" t="s">
        <v>87</v>
      </c>
      <c r="B25" t="s">
        <v>88</v>
      </c>
      <c r="C25" t="s">
        <v>60</v>
      </c>
      <c r="D25" t="s">
        <v>65</v>
      </c>
      <c r="E25">
        <v>0</v>
      </c>
      <c r="F25" t="s">
        <v>71</v>
      </c>
    </row>
    <row r="26" spans="1:7" x14ac:dyDescent="0.3">
      <c r="A26" t="s">
        <v>89</v>
      </c>
      <c r="B26" t="s">
        <v>90</v>
      </c>
      <c r="C26">
        <v>100</v>
      </c>
      <c r="D26" t="s">
        <v>31</v>
      </c>
      <c r="E26" t="s">
        <v>70</v>
      </c>
      <c r="F26">
        <v>10</v>
      </c>
      <c r="G26" t="s">
        <v>74</v>
      </c>
    </row>
    <row r="27" spans="1:7" x14ac:dyDescent="0.3">
      <c r="A27" t="s">
        <v>91</v>
      </c>
      <c r="B27" t="s">
        <v>92</v>
      </c>
      <c r="C27">
        <v>320</v>
      </c>
      <c r="D27" t="s">
        <v>60</v>
      </c>
      <c r="E27" t="s">
        <v>65</v>
      </c>
      <c r="F27">
        <v>0</v>
      </c>
      <c r="G27" t="s">
        <v>93</v>
      </c>
    </row>
    <row r="28" spans="1:7" x14ac:dyDescent="0.3">
      <c r="A28" t="s">
        <v>94</v>
      </c>
      <c r="B28" t="s">
        <v>95</v>
      </c>
      <c r="C28">
        <v>350</v>
      </c>
      <c r="D28" t="s">
        <v>31</v>
      </c>
      <c r="E28" t="s">
        <v>61</v>
      </c>
      <c r="F28" t="s">
        <v>96</v>
      </c>
    </row>
    <row r="29" spans="1:7" x14ac:dyDescent="0.3">
      <c r="A29" t="s">
        <v>97</v>
      </c>
      <c r="B29" t="s">
        <v>98</v>
      </c>
      <c r="C29" t="s">
        <v>60</v>
      </c>
      <c r="D29" t="s">
        <v>70</v>
      </c>
      <c r="E29" t="s">
        <v>80</v>
      </c>
    </row>
    <row r="30" spans="1:7" x14ac:dyDescent="0.3">
      <c r="A30" t="s">
        <v>99</v>
      </c>
      <c r="B30" t="s">
        <v>100</v>
      </c>
      <c r="C30" t="s">
        <v>31</v>
      </c>
      <c r="D30" t="s">
        <v>65</v>
      </c>
      <c r="E30" t="s">
        <v>66</v>
      </c>
    </row>
    <row r="31" spans="1:7" x14ac:dyDescent="0.3">
      <c r="A31" t="s">
        <v>101</v>
      </c>
      <c r="B31" t="s">
        <v>102</v>
      </c>
      <c r="C31">
        <v>150</v>
      </c>
      <c r="D31" t="s">
        <v>60</v>
      </c>
      <c r="E31" t="s">
        <v>61</v>
      </c>
      <c r="F31" t="s">
        <v>103</v>
      </c>
    </row>
    <row r="32" spans="1:7" x14ac:dyDescent="0.3">
      <c r="A32" t="s">
        <v>104</v>
      </c>
      <c r="B32" t="s">
        <v>105</v>
      </c>
      <c r="C32" t="s">
        <v>31</v>
      </c>
      <c r="D32" t="s">
        <v>65</v>
      </c>
      <c r="E32" t="s">
        <v>106</v>
      </c>
    </row>
    <row r="33" spans="1:8" x14ac:dyDescent="0.3">
      <c r="A33" t="s">
        <v>107</v>
      </c>
      <c r="B33" t="s">
        <v>108</v>
      </c>
      <c r="C33">
        <v>250</v>
      </c>
      <c r="D33" t="s">
        <v>60</v>
      </c>
      <c r="E33" t="s">
        <v>61</v>
      </c>
      <c r="F33">
        <v>30</v>
      </c>
      <c r="G33" t="s">
        <v>93</v>
      </c>
    </row>
    <row r="34" spans="1:8" x14ac:dyDescent="0.3">
      <c r="A34" t="s">
        <v>109</v>
      </c>
      <c r="B34" t="s">
        <v>110</v>
      </c>
      <c r="C34">
        <v>150</v>
      </c>
      <c r="D34" t="s">
        <v>31</v>
      </c>
      <c r="E34" t="s">
        <v>70</v>
      </c>
      <c r="F34" t="s">
        <v>62</v>
      </c>
    </row>
    <row r="35" spans="1:8" x14ac:dyDescent="0.3">
      <c r="A35" t="s">
        <v>111</v>
      </c>
      <c r="B35" t="s">
        <v>112</v>
      </c>
      <c r="C35">
        <v>300</v>
      </c>
      <c r="D35" t="s">
        <v>60</v>
      </c>
      <c r="E35" t="s">
        <v>65</v>
      </c>
      <c r="F35" t="s">
        <v>80</v>
      </c>
    </row>
    <row r="36" spans="1:8" x14ac:dyDescent="0.3">
      <c r="A36" t="s">
        <v>113</v>
      </c>
      <c r="B36" t="s">
        <v>114</v>
      </c>
      <c r="C36">
        <v>3</v>
      </c>
      <c r="D36">
        <v>180</v>
      </c>
      <c r="E36" t="s">
        <v>31</v>
      </c>
      <c r="F36" t="s">
        <v>61</v>
      </c>
      <c r="G36">
        <v>10</v>
      </c>
      <c r="H36" t="s">
        <v>115</v>
      </c>
    </row>
    <row r="37" spans="1:8" x14ac:dyDescent="0.3">
      <c r="A37" t="s">
        <v>116</v>
      </c>
      <c r="B37" t="s">
        <v>117</v>
      </c>
      <c r="C37">
        <v>90</v>
      </c>
      <c r="D37" t="s">
        <v>60</v>
      </c>
      <c r="E37" t="s">
        <v>65</v>
      </c>
      <c r="F37">
        <v>0</v>
      </c>
      <c r="G37" t="s">
        <v>71</v>
      </c>
    </row>
    <row r="38" spans="1:8" x14ac:dyDescent="0.3">
      <c r="A38" t="s">
        <v>118</v>
      </c>
      <c r="B38" t="s">
        <v>119</v>
      </c>
      <c r="C38">
        <v>320</v>
      </c>
      <c r="D38" t="s">
        <v>31</v>
      </c>
      <c r="E38" t="s">
        <v>70</v>
      </c>
      <c r="F38" t="s">
        <v>120</v>
      </c>
    </row>
    <row r="39" spans="1:8" x14ac:dyDescent="0.3">
      <c r="A39" t="s">
        <v>121</v>
      </c>
      <c r="B39" t="s">
        <v>122</v>
      </c>
      <c r="C39">
        <v>120</v>
      </c>
      <c r="D39" t="s">
        <v>60</v>
      </c>
      <c r="E39" t="s">
        <v>61</v>
      </c>
      <c r="F39" t="s">
        <v>123</v>
      </c>
    </row>
    <row r="40" spans="1:8" x14ac:dyDescent="0.3">
      <c r="A40" t="s">
        <v>124</v>
      </c>
      <c r="B40" t="s">
        <v>125</v>
      </c>
      <c r="C40">
        <v>1</v>
      </c>
      <c r="D40">
        <v>450</v>
      </c>
      <c r="E40" t="s">
        <v>31</v>
      </c>
      <c r="F40" t="s">
        <v>65</v>
      </c>
      <c r="G40">
        <v>15</v>
      </c>
      <c r="H40" t="s">
        <v>126</v>
      </c>
    </row>
    <row r="41" spans="1:8" x14ac:dyDescent="0.3">
      <c r="A41" t="s">
        <v>127</v>
      </c>
      <c r="B41" t="s">
        <v>128</v>
      </c>
      <c r="C41">
        <v>260</v>
      </c>
      <c r="D41" t="s">
        <v>60</v>
      </c>
      <c r="E41" t="s">
        <v>61</v>
      </c>
      <c r="F41" t="s">
        <v>80</v>
      </c>
    </row>
    <row r="42" spans="1:8" x14ac:dyDescent="0.3">
      <c r="A42" t="s">
        <v>129</v>
      </c>
      <c r="B42" t="s">
        <v>130</v>
      </c>
      <c r="C42">
        <v>300</v>
      </c>
      <c r="D42" t="s">
        <v>31</v>
      </c>
      <c r="E42" t="s">
        <v>70</v>
      </c>
      <c r="F42" t="s">
        <v>66</v>
      </c>
    </row>
    <row r="43" spans="1:8" x14ac:dyDescent="0.3">
      <c r="A43" t="s">
        <v>131</v>
      </c>
      <c r="B43" t="s">
        <v>132</v>
      </c>
      <c r="C43">
        <v>200</v>
      </c>
      <c r="D43" t="s">
        <v>60</v>
      </c>
      <c r="E43" t="s">
        <v>65</v>
      </c>
      <c r="F43" t="s">
        <v>103</v>
      </c>
    </row>
    <row r="44" spans="1:8" x14ac:dyDescent="0.3">
      <c r="A44" t="s">
        <v>133</v>
      </c>
      <c r="B44" t="s">
        <v>134</v>
      </c>
      <c r="C44">
        <v>240</v>
      </c>
      <c r="D44" t="s">
        <v>31</v>
      </c>
      <c r="E44" t="s">
        <v>65</v>
      </c>
      <c r="F44">
        <v>10</v>
      </c>
      <c r="G44" t="s">
        <v>74</v>
      </c>
    </row>
    <row r="45" spans="1:8" x14ac:dyDescent="0.3">
      <c r="A45" t="s">
        <v>135</v>
      </c>
      <c r="B45" t="s">
        <v>136</v>
      </c>
      <c r="C45">
        <v>320</v>
      </c>
      <c r="D45" t="s">
        <v>60</v>
      </c>
      <c r="E45" t="s">
        <v>61</v>
      </c>
      <c r="F45" t="s">
        <v>123</v>
      </c>
    </row>
    <row r="46" spans="1:8" x14ac:dyDescent="0.3">
      <c r="A46" t="s">
        <v>137</v>
      </c>
      <c r="B46" t="s">
        <v>138</v>
      </c>
      <c r="C46">
        <v>200</v>
      </c>
      <c r="D46" t="s">
        <v>31</v>
      </c>
      <c r="E46" t="s">
        <v>61</v>
      </c>
      <c r="F46" t="s">
        <v>62</v>
      </c>
    </row>
    <row r="47" spans="1:8" x14ac:dyDescent="0.3">
      <c r="A47" t="s">
        <v>139</v>
      </c>
      <c r="B47" t="s">
        <v>140</v>
      </c>
      <c r="C47">
        <v>250</v>
      </c>
      <c r="D47" t="s">
        <v>60</v>
      </c>
      <c r="E47" t="s">
        <v>65</v>
      </c>
      <c r="F47" t="s">
        <v>141</v>
      </c>
    </row>
    <row r="48" spans="1:8" x14ac:dyDescent="0.3">
      <c r="A48" t="s">
        <v>142</v>
      </c>
      <c r="B48" t="s">
        <v>143</v>
      </c>
      <c r="C48">
        <v>180</v>
      </c>
      <c r="D48" t="s">
        <v>31</v>
      </c>
      <c r="E48" t="s">
        <v>70</v>
      </c>
      <c r="F48" t="s">
        <v>86</v>
      </c>
    </row>
    <row r="49" spans="1:7" x14ac:dyDescent="0.3">
      <c r="A49" t="s">
        <v>144</v>
      </c>
      <c r="B49" t="s">
        <v>145</v>
      </c>
      <c r="C49">
        <v>200</v>
      </c>
      <c r="D49" t="s">
        <v>60</v>
      </c>
      <c r="E49" t="s">
        <v>65</v>
      </c>
      <c r="F49" t="s">
        <v>103</v>
      </c>
    </row>
    <row r="50" spans="1:7" x14ac:dyDescent="0.3">
      <c r="A50" t="s">
        <v>146</v>
      </c>
      <c r="B50" t="s">
        <v>76</v>
      </c>
      <c r="C50">
        <v>500</v>
      </c>
      <c r="D50" t="s">
        <v>31</v>
      </c>
      <c r="E50" t="s">
        <v>61</v>
      </c>
      <c r="F50">
        <v>15</v>
      </c>
      <c r="G50" t="s">
        <v>74</v>
      </c>
    </row>
    <row r="51" spans="1:7" x14ac:dyDescent="0.3">
      <c r="A51" t="s">
        <v>147</v>
      </c>
      <c r="B51" t="s">
        <v>148</v>
      </c>
      <c r="C51">
        <v>180</v>
      </c>
      <c r="D51" t="s">
        <v>60</v>
      </c>
      <c r="E51" t="s">
        <v>65</v>
      </c>
      <c r="F51" t="s">
        <v>123</v>
      </c>
    </row>
    <row r="52" spans="1:7" x14ac:dyDescent="0.3">
      <c r="A52" t="s">
        <v>149</v>
      </c>
      <c r="B52" t="s">
        <v>150</v>
      </c>
      <c r="C52">
        <v>450</v>
      </c>
      <c r="D52" t="s">
        <v>31</v>
      </c>
      <c r="E52" t="s">
        <v>70</v>
      </c>
      <c r="F52" t="s">
        <v>151</v>
      </c>
    </row>
    <row r="53" spans="1:7" x14ac:dyDescent="0.3">
      <c r="A53" t="s">
        <v>152</v>
      </c>
      <c r="B53" t="s">
        <v>95</v>
      </c>
      <c r="C53">
        <v>300</v>
      </c>
      <c r="D53" t="s">
        <v>60</v>
      </c>
      <c r="E53" t="s">
        <v>61</v>
      </c>
      <c r="F53" t="s">
        <v>80</v>
      </c>
    </row>
    <row r="54" spans="1:7" x14ac:dyDescent="0.3">
      <c r="A54" t="s">
        <v>153</v>
      </c>
      <c r="B54" t="s">
        <v>154</v>
      </c>
      <c r="C54">
        <v>260</v>
      </c>
      <c r="D54" t="s">
        <v>31</v>
      </c>
      <c r="E54" t="s">
        <v>65</v>
      </c>
      <c r="F54" t="s">
        <v>86</v>
      </c>
    </row>
    <row r="55" spans="1:7" x14ac:dyDescent="0.3">
      <c r="A55" t="s">
        <v>155</v>
      </c>
      <c r="B55" t="s">
        <v>156</v>
      </c>
      <c r="C55">
        <v>350</v>
      </c>
      <c r="D55" t="s">
        <v>60</v>
      </c>
      <c r="E55" t="s">
        <v>61</v>
      </c>
      <c r="F55" t="s">
        <v>157</v>
      </c>
    </row>
    <row r="56" spans="1:7" x14ac:dyDescent="0.3">
      <c r="A56" t="s">
        <v>158</v>
      </c>
      <c r="B56" t="s">
        <v>159</v>
      </c>
      <c r="C56">
        <v>420</v>
      </c>
      <c r="D56" t="s">
        <v>31</v>
      </c>
      <c r="E56" t="s">
        <v>70</v>
      </c>
      <c r="F56">
        <v>0</v>
      </c>
      <c r="G56" t="s">
        <v>74</v>
      </c>
    </row>
    <row r="57" spans="1:7" x14ac:dyDescent="0.3">
      <c r="A57" t="s">
        <v>160</v>
      </c>
      <c r="B57" t="s">
        <v>161</v>
      </c>
      <c r="C57">
        <v>500</v>
      </c>
      <c r="D57" t="s">
        <v>60</v>
      </c>
      <c r="E57" t="s">
        <v>65</v>
      </c>
      <c r="F57" t="s">
        <v>123</v>
      </c>
    </row>
    <row r="58" spans="1:7" x14ac:dyDescent="0.3">
      <c r="A58" t="s">
        <v>162</v>
      </c>
      <c r="B58" t="s">
        <v>163</v>
      </c>
      <c r="C58">
        <v>220</v>
      </c>
      <c r="D58" t="s">
        <v>31</v>
      </c>
      <c r="E58" t="s">
        <v>65</v>
      </c>
      <c r="F58" t="s">
        <v>164</v>
      </c>
    </row>
    <row r="59" spans="1:7" x14ac:dyDescent="0.3">
      <c r="A59" t="s">
        <v>165</v>
      </c>
      <c r="B59" t="s">
        <v>166</v>
      </c>
      <c r="C59">
        <v>180</v>
      </c>
      <c r="D59" t="s">
        <v>60</v>
      </c>
      <c r="E59" t="s">
        <v>70</v>
      </c>
      <c r="F59" t="s">
        <v>80</v>
      </c>
    </row>
    <row r="60" spans="1:7" x14ac:dyDescent="0.3">
      <c r="A60" t="s">
        <v>167</v>
      </c>
      <c r="B60" t="s">
        <v>168</v>
      </c>
      <c r="C60">
        <v>280</v>
      </c>
      <c r="D60" t="s">
        <v>31</v>
      </c>
      <c r="E60" t="s">
        <v>61</v>
      </c>
      <c r="F60">
        <v>0</v>
      </c>
      <c r="G60" t="s">
        <v>115</v>
      </c>
    </row>
    <row r="61" spans="1:7" x14ac:dyDescent="0.3">
      <c r="A61" t="s">
        <v>169</v>
      </c>
      <c r="B61" t="s">
        <v>76</v>
      </c>
      <c r="C61">
        <v>500</v>
      </c>
      <c r="D61" t="s">
        <v>60</v>
      </c>
      <c r="E61" t="s">
        <v>61</v>
      </c>
      <c r="F61" t="s">
        <v>170</v>
      </c>
    </row>
    <row r="62" spans="1:7" x14ac:dyDescent="0.3">
      <c r="A62" t="s">
        <v>171</v>
      </c>
      <c r="B62" t="s">
        <v>172</v>
      </c>
      <c r="C62">
        <v>160</v>
      </c>
      <c r="D62" t="s">
        <v>31</v>
      </c>
      <c r="E62" t="s">
        <v>70</v>
      </c>
      <c r="F62" t="s">
        <v>106</v>
      </c>
    </row>
    <row r="63" spans="1:7" x14ac:dyDescent="0.3">
      <c r="A63" t="s">
        <v>173</v>
      </c>
      <c r="B63" t="s">
        <v>174</v>
      </c>
      <c r="C63">
        <v>380</v>
      </c>
      <c r="D63" t="s">
        <v>60</v>
      </c>
      <c r="E63" t="s">
        <v>65</v>
      </c>
      <c r="F63" t="s">
        <v>123</v>
      </c>
    </row>
    <row r="64" spans="1:7" x14ac:dyDescent="0.3">
      <c r="A64" t="s">
        <v>175</v>
      </c>
      <c r="B64" t="s">
        <v>176</v>
      </c>
      <c r="C64">
        <v>200</v>
      </c>
      <c r="D64" t="s">
        <v>31</v>
      </c>
      <c r="E64" t="s">
        <v>65</v>
      </c>
      <c r="F64">
        <v>10</v>
      </c>
      <c r="G64" t="s">
        <v>126</v>
      </c>
    </row>
    <row r="65" spans="1:7" x14ac:dyDescent="0.3">
      <c r="A65" t="s">
        <v>177</v>
      </c>
      <c r="B65" t="s">
        <v>178</v>
      </c>
      <c r="C65">
        <v>140</v>
      </c>
      <c r="D65" t="s">
        <v>60</v>
      </c>
      <c r="E65" t="s">
        <v>61</v>
      </c>
      <c r="F65" t="s">
        <v>80</v>
      </c>
    </row>
    <row r="66" spans="1:7" x14ac:dyDescent="0.3">
      <c r="A66" t="s">
        <v>179</v>
      </c>
      <c r="B66" t="s">
        <v>90</v>
      </c>
      <c r="C66">
        <v>100</v>
      </c>
      <c r="D66" t="s">
        <v>31</v>
      </c>
      <c r="E66" t="s">
        <v>65</v>
      </c>
      <c r="F66" t="s">
        <v>86</v>
      </c>
    </row>
    <row r="67" spans="1:7" x14ac:dyDescent="0.3">
      <c r="A67" t="s">
        <v>180</v>
      </c>
      <c r="B67" t="s">
        <v>73</v>
      </c>
      <c r="C67" t="s">
        <v>31</v>
      </c>
      <c r="D67" t="s">
        <v>65</v>
      </c>
      <c r="E67" t="s">
        <v>151</v>
      </c>
    </row>
    <row r="68" spans="1:7" x14ac:dyDescent="0.3">
      <c r="A68" t="s">
        <v>181</v>
      </c>
      <c r="B68" t="s">
        <v>161</v>
      </c>
      <c r="C68">
        <v>500</v>
      </c>
      <c r="D68" t="s">
        <v>60</v>
      </c>
      <c r="E68" t="s">
        <v>61</v>
      </c>
      <c r="F68">
        <v>0</v>
      </c>
      <c r="G68" t="s">
        <v>115</v>
      </c>
    </row>
    <row r="69" spans="1:7" x14ac:dyDescent="0.3">
      <c r="A69" t="s">
        <v>182</v>
      </c>
      <c r="B69" t="s">
        <v>163</v>
      </c>
      <c r="C69">
        <v>220</v>
      </c>
      <c r="D69" t="s">
        <v>31</v>
      </c>
      <c r="E69" t="s">
        <v>70</v>
      </c>
      <c r="F69">
        <v>0</v>
      </c>
      <c r="G69" t="s">
        <v>71</v>
      </c>
    </row>
    <row r="70" spans="1:7" x14ac:dyDescent="0.3">
      <c r="A70" t="s">
        <v>183</v>
      </c>
      <c r="B70" t="s">
        <v>166</v>
      </c>
      <c r="C70">
        <v>180</v>
      </c>
      <c r="D70" t="s">
        <v>60</v>
      </c>
      <c r="E70" t="s">
        <v>65</v>
      </c>
      <c r="F70">
        <v>0</v>
      </c>
      <c r="G70" t="s">
        <v>74</v>
      </c>
    </row>
    <row r="71" spans="1:7" x14ac:dyDescent="0.3">
      <c r="A71" t="s">
        <v>184</v>
      </c>
      <c r="B71" t="s">
        <v>168</v>
      </c>
      <c r="C71">
        <v>280</v>
      </c>
      <c r="D71" t="s">
        <v>31</v>
      </c>
      <c r="E71" t="s">
        <v>61</v>
      </c>
      <c r="F71" t="s">
        <v>77</v>
      </c>
    </row>
    <row r="72" spans="1:7" x14ac:dyDescent="0.3">
      <c r="A72" t="s">
        <v>185</v>
      </c>
      <c r="B72" t="s">
        <v>76</v>
      </c>
      <c r="C72">
        <v>500</v>
      </c>
      <c r="D72" t="s">
        <v>60</v>
      </c>
      <c r="E72" t="s">
        <v>65</v>
      </c>
      <c r="F72" t="s">
        <v>80</v>
      </c>
    </row>
    <row r="73" spans="1:7" x14ac:dyDescent="0.3">
      <c r="A73" t="s">
        <v>186</v>
      </c>
      <c r="B73" t="s">
        <v>172</v>
      </c>
      <c r="C73">
        <v>160</v>
      </c>
      <c r="D73" t="s">
        <v>31</v>
      </c>
      <c r="E73" t="s">
        <v>70</v>
      </c>
      <c r="F73">
        <v>15</v>
      </c>
      <c r="G73" t="s">
        <v>126</v>
      </c>
    </row>
    <row r="74" spans="1:7" x14ac:dyDescent="0.3">
      <c r="A74" t="s">
        <v>187</v>
      </c>
      <c r="B74" t="s">
        <v>188</v>
      </c>
      <c r="C74" t="s">
        <v>60</v>
      </c>
      <c r="D74" t="s">
        <v>61</v>
      </c>
      <c r="E74" t="s">
        <v>86</v>
      </c>
    </row>
    <row r="75" spans="1:7" x14ac:dyDescent="0.3">
      <c r="A75" t="s">
        <v>189</v>
      </c>
      <c r="B75" t="s">
        <v>190</v>
      </c>
      <c r="C75" t="s">
        <v>31</v>
      </c>
      <c r="D75" t="s">
        <v>65</v>
      </c>
      <c r="E75">
        <v>0</v>
      </c>
      <c r="F75" t="s">
        <v>71</v>
      </c>
    </row>
    <row r="76" spans="1:7" x14ac:dyDescent="0.3">
      <c r="A76" t="s">
        <v>191</v>
      </c>
      <c r="B76" t="s">
        <v>178</v>
      </c>
      <c r="C76">
        <v>140</v>
      </c>
      <c r="D76" t="s">
        <v>60</v>
      </c>
      <c r="E76" t="s">
        <v>65</v>
      </c>
      <c r="F76">
        <v>20</v>
      </c>
      <c r="G76" t="s">
        <v>74</v>
      </c>
    </row>
    <row r="77" spans="1:7" x14ac:dyDescent="0.3">
      <c r="A77" t="s">
        <v>192</v>
      </c>
      <c r="B77" t="s">
        <v>90</v>
      </c>
      <c r="C77">
        <v>100</v>
      </c>
      <c r="D77" t="s">
        <v>31</v>
      </c>
      <c r="E77" t="s">
        <v>70</v>
      </c>
      <c r="F77">
        <v>0</v>
      </c>
      <c r="G77" t="s">
        <v>93</v>
      </c>
    </row>
    <row r="78" spans="1:7" x14ac:dyDescent="0.3">
      <c r="A78" t="s">
        <v>193</v>
      </c>
      <c r="B78" t="s">
        <v>92</v>
      </c>
      <c r="C78">
        <v>320</v>
      </c>
      <c r="D78" t="s">
        <v>60</v>
      </c>
      <c r="E78" t="s">
        <v>61</v>
      </c>
      <c r="F78" t="s">
        <v>62</v>
      </c>
    </row>
    <row r="79" spans="1:7" x14ac:dyDescent="0.3">
      <c r="A79" t="s">
        <v>194</v>
      </c>
      <c r="B79" t="s">
        <v>95</v>
      </c>
      <c r="C79">
        <v>350</v>
      </c>
      <c r="D79" t="s">
        <v>31</v>
      </c>
      <c r="E79" t="s">
        <v>65</v>
      </c>
      <c r="F79">
        <v>25</v>
      </c>
      <c r="G79" t="s">
        <v>195</v>
      </c>
    </row>
    <row r="80" spans="1:7" x14ac:dyDescent="0.3">
      <c r="A80" t="s">
        <v>196</v>
      </c>
      <c r="B80" t="s">
        <v>98</v>
      </c>
      <c r="C80" t="s">
        <v>60</v>
      </c>
      <c r="D80" t="s">
        <v>65</v>
      </c>
      <c r="E80" t="s">
        <v>86</v>
      </c>
    </row>
    <row r="81" spans="1:7" x14ac:dyDescent="0.3">
      <c r="A81" t="s">
        <v>197</v>
      </c>
      <c r="B81" t="s">
        <v>198</v>
      </c>
      <c r="C81">
        <v>300</v>
      </c>
      <c r="D81" t="s">
        <v>31</v>
      </c>
      <c r="E81" t="s">
        <v>61</v>
      </c>
      <c r="F81" t="s">
        <v>103</v>
      </c>
    </row>
    <row r="82" spans="1:7" x14ac:dyDescent="0.3">
      <c r="A82" t="s">
        <v>199</v>
      </c>
      <c r="B82" t="s">
        <v>102</v>
      </c>
      <c r="C82">
        <v>150</v>
      </c>
      <c r="D82" t="s">
        <v>60</v>
      </c>
      <c r="E82" t="s">
        <v>65</v>
      </c>
      <c r="F82">
        <v>10</v>
      </c>
      <c r="G82" t="s">
        <v>74</v>
      </c>
    </row>
    <row r="83" spans="1:7" x14ac:dyDescent="0.3">
      <c r="A83" t="s">
        <v>200</v>
      </c>
      <c r="B83" t="s">
        <v>201</v>
      </c>
      <c r="C83">
        <v>400</v>
      </c>
      <c r="D83" t="s">
        <v>31</v>
      </c>
      <c r="E83" t="s">
        <v>70</v>
      </c>
      <c r="F83">
        <v>0</v>
      </c>
      <c r="G83" t="s">
        <v>93</v>
      </c>
    </row>
    <row r="84" spans="1:7" x14ac:dyDescent="0.3">
      <c r="A84" t="s">
        <v>202</v>
      </c>
      <c r="B84" t="s">
        <v>108</v>
      </c>
      <c r="C84">
        <v>250</v>
      </c>
      <c r="D84" t="s">
        <v>60</v>
      </c>
      <c r="E84" t="s">
        <v>61</v>
      </c>
      <c r="F84" t="s">
        <v>62</v>
      </c>
    </row>
    <row r="85" spans="1:7" x14ac:dyDescent="0.3">
      <c r="A85" t="s">
        <v>203</v>
      </c>
      <c r="B85" t="s">
        <v>110</v>
      </c>
      <c r="C85">
        <v>150</v>
      </c>
      <c r="D85" t="s">
        <v>31</v>
      </c>
      <c r="E85" t="s">
        <v>65</v>
      </c>
      <c r="F85" t="s">
        <v>204</v>
      </c>
    </row>
    <row r="86" spans="1:7" x14ac:dyDescent="0.3">
      <c r="A86" t="s">
        <v>205</v>
      </c>
      <c r="B86" t="s">
        <v>112</v>
      </c>
      <c r="C86">
        <v>300</v>
      </c>
      <c r="D86" t="s">
        <v>60</v>
      </c>
      <c r="E86" t="s">
        <v>65</v>
      </c>
      <c r="F86">
        <v>0</v>
      </c>
      <c r="G86" t="s">
        <v>115</v>
      </c>
    </row>
    <row r="87" spans="1:7" x14ac:dyDescent="0.3">
      <c r="A87" t="s">
        <v>206</v>
      </c>
      <c r="B87" t="s">
        <v>207</v>
      </c>
      <c r="C87">
        <v>180</v>
      </c>
      <c r="D87" t="s">
        <v>31</v>
      </c>
      <c r="E87" t="s">
        <v>61</v>
      </c>
      <c r="F87" t="s">
        <v>103</v>
      </c>
    </row>
    <row r="88" spans="1:7" x14ac:dyDescent="0.3">
      <c r="A88" t="s">
        <v>208</v>
      </c>
      <c r="B88" t="s">
        <v>117</v>
      </c>
      <c r="C88">
        <v>90</v>
      </c>
      <c r="D88" t="s">
        <v>60</v>
      </c>
      <c r="E88" t="s">
        <v>65</v>
      </c>
      <c r="F88" t="s">
        <v>120</v>
      </c>
    </row>
    <row r="89" spans="1:7" x14ac:dyDescent="0.3">
      <c r="A89" t="s">
        <v>209</v>
      </c>
      <c r="B89" t="s">
        <v>119</v>
      </c>
      <c r="C89">
        <v>320</v>
      </c>
      <c r="D89" t="s">
        <v>31</v>
      </c>
      <c r="E89" t="s">
        <v>70</v>
      </c>
      <c r="F89">
        <v>0</v>
      </c>
      <c r="G89" t="s">
        <v>93</v>
      </c>
    </row>
    <row r="90" spans="1:7" x14ac:dyDescent="0.3">
      <c r="A90" t="s">
        <v>210</v>
      </c>
      <c r="B90" t="s">
        <v>122</v>
      </c>
      <c r="C90">
        <v>120</v>
      </c>
      <c r="D90" t="s">
        <v>60</v>
      </c>
      <c r="E90" t="s">
        <v>65</v>
      </c>
      <c r="F90">
        <v>0</v>
      </c>
      <c r="G90" t="s">
        <v>126</v>
      </c>
    </row>
    <row r="91" spans="1:7" x14ac:dyDescent="0.3">
      <c r="A91" t="s">
        <v>211</v>
      </c>
      <c r="B91" t="s">
        <v>212</v>
      </c>
      <c r="C91">
        <v>450</v>
      </c>
      <c r="D91" t="s">
        <v>31</v>
      </c>
      <c r="E91" t="s">
        <v>61</v>
      </c>
      <c r="F91">
        <v>10</v>
      </c>
      <c r="G91" t="s">
        <v>195</v>
      </c>
    </row>
    <row r="92" spans="1:7" x14ac:dyDescent="0.3">
      <c r="A92" t="s">
        <v>213</v>
      </c>
      <c r="B92" t="s">
        <v>128</v>
      </c>
      <c r="C92">
        <v>260</v>
      </c>
      <c r="D92" t="s">
        <v>60</v>
      </c>
      <c r="E92" t="s">
        <v>61</v>
      </c>
      <c r="F92" t="s">
        <v>86</v>
      </c>
    </row>
    <row r="93" spans="1:7" x14ac:dyDescent="0.3">
      <c r="A93" t="s">
        <v>214</v>
      </c>
      <c r="B93" t="s">
        <v>130</v>
      </c>
      <c r="C93">
        <v>300</v>
      </c>
      <c r="D93" t="s">
        <v>31</v>
      </c>
      <c r="E93" t="s">
        <v>70</v>
      </c>
      <c r="F93" t="s">
        <v>103</v>
      </c>
    </row>
    <row r="94" spans="1:7" x14ac:dyDescent="0.3">
      <c r="A94" t="s">
        <v>215</v>
      </c>
      <c r="B94" t="s">
        <v>132</v>
      </c>
      <c r="C94">
        <v>200</v>
      </c>
      <c r="D94" t="s">
        <v>60</v>
      </c>
      <c r="E94" t="s">
        <v>65</v>
      </c>
      <c r="F94">
        <v>25</v>
      </c>
      <c r="G94" t="s">
        <v>74</v>
      </c>
    </row>
    <row r="95" spans="1:7" x14ac:dyDescent="0.3">
      <c r="A95" t="s">
        <v>216</v>
      </c>
      <c r="B95" t="s">
        <v>134</v>
      </c>
      <c r="C95">
        <v>240</v>
      </c>
      <c r="D95" t="s">
        <v>31</v>
      </c>
      <c r="E95" t="s">
        <v>65</v>
      </c>
      <c r="F95">
        <v>0</v>
      </c>
      <c r="G95" t="s">
        <v>93</v>
      </c>
    </row>
    <row r="96" spans="1:7" x14ac:dyDescent="0.3">
      <c r="A96" t="s">
        <v>217</v>
      </c>
      <c r="B96" t="s">
        <v>136</v>
      </c>
      <c r="C96">
        <v>320</v>
      </c>
      <c r="D96" t="s">
        <v>60</v>
      </c>
      <c r="E96" t="s">
        <v>61</v>
      </c>
      <c r="F96" t="s">
        <v>62</v>
      </c>
    </row>
    <row r="97" spans="1:7" x14ac:dyDescent="0.3">
      <c r="A97" t="s">
        <v>218</v>
      </c>
      <c r="B97" t="s">
        <v>138</v>
      </c>
      <c r="C97">
        <v>200</v>
      </c>
      <c r="D97" t="s">
        <v>31</v>
      </c>
      <c r="E97" t="s">
        <v>65</v>
      </c>
      <c r="F97" t="s">
        <v>80</v>
      </c>
    </row>
    <row r="98" spans="1:7" x14ac:dyDescent="0.3">
      <c r="A98" t="s">
        <v>219</v>
      </c>
      <c r="B98" t="s">
        <v>140</v>
      </c>
      <c r="C98">
        <v>250</v>
      </c>
      <c r="D98" t="s">
        <v>60</v>
      </c>
      <c r="E98" t="s">
        <v>70</v>
      </c>
      <c r="F98" t="s">
        <v>220</v>
      </c>
    </row>
    <row r="99" spans="1:7" x14ac:dyDescent="0.3">
      <c r="A99" t="s">
        <v>221</v>
      </c>
      <c r="B99" t="s">
        <v>143</v>
      </c>
      <c r="C99">
        <v>180</v>
      </c>
      <c r="D99" t="s">
        <v>31</v>
      </c>
      <c r="E99" t="s">
        <v>65</v>
      </c>
      <c r="F99" t="s">
        <v>103</v>
      </c>
    </row>
    <row r="100" spans="1:7" x14ac:dyDescent="0.3">
      <c r="A100" t="s">
        <v>222</v>
      </c>
      <c r="B100" t="s">
        <v>145</v>
      </c>
      <c r="C100">
        <v>200</v>
      </c>
      <c r="D100" t="s">
        <v>60</v>
      </c>
      <c r="E100" t="s">
        <v>61</v>
      </c>
      <c r="F100">
        <v>0</v>
      </c>
      <c r="G100" t="s">
        <v>74</v>
      </c>
    </row>
    <row r="101" spans="1:7" x14ac:dyDescent="0.3">
      <c r="A101" t="s">
        <v>223</v>
      </c>
      <c r="B101" t="s">
        <v>76</v>
      </c>
      <c r="C101">
        <v>500</v>
      </c>
      <c r="D101" t="s">
        <v>31</v>
      </c>
      <c r="E101" t="s">
        <v>65</v>
      </c>
      <c r="F101">
        <v>30</v>
      </c>
      <c r="G101" t="s">
        <v>93</v>
      </c>
    </row>
    <row r="102" spans="1:7" x14ac:dyDescent="0.3">
      <c r="A102" t="s">
        <v>224</v>
      </c>
      <c r="B102" t="s">
        <v>148</v>
      </c>
      <c r="C102">
        <v>180</v>
      </c>
      <c r="D102" t="s">
        <v>60</v>
      </c>
      <c r="E102" t="s">
        <v>65</v>
      </c>
      <c r="F102" t="s">
        <v>62</v>
      </c>
    </row>
    <row r="103" spans="1:7" x14ac:dyDescent="0.3">
      <c r="A103" t="s">
        <v>225</v>
      </c>
      <c r="B103" t="s">
        <v>150</v>
      </c>
      <c r="C103">
        <v>450</v>
      </c>
      <c r="D103" t="s">
        <v>31</v>
      </c>
      <c r="E103" t="s">
        <v>70</v>
      </c>
      <c r="F103" t="s">
        <v>80</v>
      </c>
    </row>
    <row r="104" spans="1:7" x14ac:dyDescent="0.3">
      <c r="A104" t="s">
        <v>226</v>
      </c>
      <c r="B104" t="s">
        <v>95</v>
      </c>
      <c r="C104">
        <v>300</v>
      </c>
      <c r="D104" t="s">
        <v>60</v>
      </c>
      <c r="E104" t="s">
        <v>61</v>
      </c>
      <c r="F104">
        <v>10</v>
      </c>
      <c r="G104" t="s">
        <v>115</v>
      </c>
    </row>
    <row r="105" spans="1:7" x14ac:dyDescent="0.3">
      <c r="A105" t="s">
        <v>227</v>
      </c>
      <c r="B105" t="s">
        <v>154</v>
      </c>
      <c r="C105">
        <v>260</v>
      </c>
      <c r="D105" t="s">
        <v>31</v>
      </c>
      <c r="E105" t="s">
        <v>61</v>
      </c>
      <c r="F105" t="s">
        <v>103</v>
      </c>
    </row>
    <row r="106" spans="1:7" x14ac:dyDescent="0.3">
      <c r="A106" t="s">
        <v>228</v>
      </c>
      <c r="B106" t="s">
        <v>156</v>
      </c>
      <c r="C106">
        <v>350</v>
      </c>
      <c r="D106" t="s">
        <v>60</v>
      </c>
      <c r="E106" t="s">
        <v>65</v>
      </c>
      <c r="F106" t="s">
        <v>106</v>
      </c>
    </row>
    <row r="107" spans="1:7" x14ac:dyDescent="0.3">
      <c r="A107" t="s">
        <v>229</v>
      </c>
      <c r="B107" t="s">
        <v>159</v>
      </c>
      <c r="C107">
        <v>420</v>
      </c>
      <c r="D107" t="s">
        <v>31</v>
      </c>
      <c r="E107" t="s">
        <v>70</v>
      </c>
      <c r="F107" t="s">
        <v>230</v>
      </c>
    </row>
    <row r="108" spans="1:7" x14ac:dyDescent="0.3">
      <c r="A108" t="s">
        <v>231</v>
      </c>
      <c r="B108" t="s">
        <v>161</v>
      </c>
      <c r="C108">
        <v>500</v>
      </c>
      <c r="D108" t="s">
        <v>60</v>
      </c>
      <c r="E108" t="s">
        <v>61</v>
      </c>
      <c r="F108" t="s">
        <v>62</v>
      </c>
    </row>
    <row r="109" spans="1:7" x14ac:dyDescent="0.3">
      <c r="A109" t="s">
        <v>232</v>
      </c>
      <c r="B109" t="s">
        <v>163</v>
      </c>
      <c r="C109">
        <v>220</v>
      </c>
      <c r="D109" t="s">
        <v>31</v>
      </c>
      <c r="E109" t="s">
        <v>65</v>
      </c>
      <c r="F109" t="s">
        <v>80</v>
      </c>
    </row>
    <row r="110" spans="1:7" x14ac:dyDescent="0.3">
      <c r="A110" t="s">
        <v>233</v>
      </c>
      <c r="B110" t="s">
        <v>166</v>
      </c>
      <c r="C110">
        <v>180</v>
      </c>
      <c r="D110" t="s">
        <v>60</v>
      </c>
      <c r="E110" t="s">
        <v>70</v>
      </c>
      <c r="F110">
        <v>15</v>
      </c>
      <c r="G110" t="s">
        <v>115</v>
      </c>
    </row>
    <row r="111" spans="1:7" x14ac:dyDescent="0.3">
      <c r="A111" t="s">
        <v>234</v>
      </c>
      <c r="B111" t="s">
        <v>168</v>
      </c>
      <c r="C111">
        <v>280</v>
      </c>
      <c r="D111" t="s">
        <v>31</v>
      </c>
      <c r="E111" t="s">
        <v>61</v>
      </c>
      <c r="F111" t="s">
        <v>103</v>
      </c>
    </row>
    <row r="112" spans="1:7" x14ac:dyDescent="0.3">
      <c r="A112" t="s">
        <v>235</v>
      </c>
      <c r="B112" t="s">
        <v>76</v>
      </c>
      <c r="C112">
        <v>500</v>
      </c>
      <c r="D112" t="s">
        <v>60</v>
      </c>
      <c r="E112" t="s">
        <v>65</v>
      </c>
      <c r="F112" t="s">
        <v>106</v>
      </c>
    </row>
    <row r="113" spans="1:13" x14ac:dyDescent="0.3">
      <c r="A113" t="s">
        <v>236</v>
      </c>
      <c r="B113" t="s">
        <v>172</v>
      </c>
      <c r="C113">
        <v>160</v>
      </c>
      <c r="D113" t="s">
        <v>31</v>
      </c>
      <c r="E113" t="s">
        <v>70</v>
      </c>
      <c r="F113" t="s">
        <v>123</v>
      </c>
    </row>
    <row r="114" spans="1:13" x14ac:dyDescent="0.3">
      <c r="A114" t="s">
        <v>237</v>
      </c>
      <c r="B114" t="s">
        <v>174</v>
      </c>
      <c r="C114">
        <v>380</v>
      </c>
      <c r="D114" t="s">
        <v>60</v>
      </c>
      <c r="E114" t="s">
        <v>65</v>
      </c>
      <c r="F114">
        <v>10</v>
      </c>
      <c r="G114" t="s">
        <v>126</v>
      </c>
    </row>
    <row r="115" spans="1:13" x14ac:dyDescent="0.3">
      <c r="A115" t="s">
        <v>238</v>
      </c>
      <c r="B115" t="s">
        <v>176</v>
      </c>
      <c r="C115">
        <v>200</v>
      </c>
      <c r="D115" t="s">
        <v>31</v>
      </c>
      <c r="E115" t="s">
        <v>61</v>
      </c>
      <c r="F115" t="s">
        <v>80</v>
      </c>
    </row>
    <row r="116" spans="1:13" x14ac:dyDescent="0.3">
      <c r="A116" t="s">
        <v>239</v>
      </c>
      <c r="B116" t="s">
        <v>178</v>
      </c>
      <c r="C116">
        <v>140</v>
      </c>
      <c r="D116" t="s">
        <v>60</v>
      </c>
      <c r="E116" t="s">
        <v>65</v>
      </c>
      <c r="F116" t="s">
        <v>86</v>
      </c>
    </row>
    <row r="117" spans="1:13" x14ac:dyDescent="0.3">
      <c r="A117" t="s">
        <v>240</v>
      </c>
      <c r="B117" t="s">
        <v>52</v>
      </c>
      <c r="C117" t="s">
        <v>53</v>
      </c>
    </row>
    <row r="118" spans="1:13" x14ac:dyDescent="0.3">
      <c r="A118" t="s">
        <v>240</v>
      </c>
      <c r="B118" t="s">
        <v>55</v>
      </c>
      <c r="C118" t="s">
        <v>56</v>
      </c>
      <c r="D118">
        <v>30</v>
      </c>
      <c r="E118" t="s">
        <v>57</v>
      </c>
      <c r="M118" s="1"/>
    </row>
    <row r="119" spans="1:13" x14ac:dyDescent="0.3">
      <c r="A119" t="s">
        <v>240</v>
      </c>
      <c r="B119" t="s">
        <v>59</v>
      </c>
      <c r="C119" t="s">
        <v>60</v>
      </c>
      <c r="D119" t="s">
        <v>61</v>
      </c>
      <c r="E119" t="s">
        <v>62</v>
      </c>
    </row>
    <row r="120" spans="1:13" x14ac:dyDescent="0.3">
      <c r="A120" t="s">
        <v>240</v>
      </c>
      <c r="B120" t="s">
        <v>64</v>
      </c>
      <c r="C120" t="s">
        <v>31</v>
      </c>
      <c r="D120" t="s">
        <v>65</v>
      </c>
      <c r="E120" t="s">
        <v>66</v>
      </c>
    </row>
    <row r="121" spans="1:13" x14ac:dyDescent="0.3">
      <c r="A121" t="s">
        <v>240</v>
      </c>
      <c r="B121" t="s">
        <v>68</v>
      </c>
      <c r="C121" t="s">
        <v>69</v>
      </c>
      <c r="D121" t="s">
        <v>60</v>
      </c>
      <c r="E121" t="s">
        <v>70</v>
      </c>
      <c r="F121">
        <v>0</v>
      </c>
      <c r="G121" t="s">
        <v>71</v>
      </c>
    </row>
    <row r="122" spans="1:13" x14ac:dyDescent="0.3">
      <c r="A122" t="s">
        <v>240</v>
      </c>
      <c r="B122" t="s">
        <v>73</v>
      </c>
      <c r="C122" t="s">
        <v>31</v>
      </c>
      <c r="D122" t="s">
        <v>65</v>
      </c>
      <c r="E122">
        <v>0</v>
      </c>
      <c r="F122" t="s">
        <v>74</v>
      </c>
      <c r="M122" s="1"/>
    </row>
    <row r="123" spans="1:13" x14ac:dyDescent="0.3">
      <c r="A123" t="s">
        <v>240</v>
      </c>
      <c r="B123" t="s">
        <v>76</v>
      </c>
      <c r="C123">
        <v>500</v>
      </c>
      <c r="D123" t="s">
        <v>60</v>
      </c>
      <c r="E123" t="s">
        <v>61</v>
      </c>
      <c r="F123" t="s">
        <v>77</v>
      </c>
    </row>
    <row r="124" spans="1:13" x14ac:dyDescent="0.3">
      <c r="A124" t="s">
        <v>240</v>
      </c>
      <c r="B124" t="s">
        <v>79</v>
      </c>
      <c r="C124">
        <v>1</v>
      </c>
      <c r="D124">
        <v>160</v>
      </c>
      <c r="E124" t="s">
        <v>31</v>
      </c>
      <c r="F124" t="s">
        <v>70</v>
      </c>
      <c r="G124" t="s">
        <v>80</v>
      </c>
    </row>
    <row r="125" spans="1:13" x14ac:dyDescent="0.3">
      <c r="A125" t="s">
        <v>240</v>
      </c>
      <c r="B125" t="s">
        <v>82</v>
      </c>
      <c r="C125" t="s">
        <v>60</v>
      </c>
      <c r="D125" t="s">
        <v>65</v>
      </c>
      <c r="E125" t="s">
        <v>83</v>
      </c>
    </row>
    <row r="126" spans="1:13" x14ac:dyDescent="0.3">
      <c r="A126" t="s">
        <v>240</v>
      </c>
      <c r="B126" t="s">
        <v>85</v>
      </c>
      <c r="C126" t="s">
        <v>31</v>
      </c>
      <c r="D126" t="s">
        <v>61</v>
      </c>
      <c r="E126" t="s">
        <v>86</v>
      </c>
      <c r="M126" s="1"/>
    </row>
    <row r="127" spans="1:13" x14ac:dyDescent="0.3">
      <c r="A127" t="s">
        <v>240</v>
      </c>
      <c r="B127" t="s">
        <v>88</v>
      </c>
      <c r="C127" t="s">
        <v>60</v>
      </c>
      <c r="D127" t="s">
        <v>65</v>
      </c>
      <c r="E127">
        <v>0</v>
      </c>
      <c r="F127" t="s">
        <v>71</v>
      </c>
    </row>
    <row r="128" spans="1:13" x14ac:dyDescent="0.3">
      <c r="A128" t="s">
        <v>240</v>
      </c>
      <c r="B128" t="s">
        <v>90</v>
      </c>
      <c r="C128">
        <v>100</v>
      </c>
      <c r="D128" t="s">
        <v>31</v>
      </c>
      <c r="E128" t="s">
        <v>70</v>
      </c>
      <c r="F128">
        <v>10</v>
      </c>
      <c r="G128" t="s">
        <v>74</v>
      </c>
      <c r="M128" s="1"/>
    </row>
    <row r="129" spans="1:13" x14ac:dyDescent="0.3">
      <c r="A129" t="s">
        <v>240</v>
      </c>
      <c r="B129" t="s">
        <v>92</v>
      </c>
      <c r="C129">
        <v>320</v>
      </c>
      <c r="D129" t="s">
        <v>60</v>
      </c>
      <c r="E129" t="s">
        <v>65</v>
      </c>
      <c r="F129">
        <v>0</v>
      </c>
      <c r="G129" t="s">
        <v>93</v>
      </c>
    </row>
    <row r="130" spans="1:13" x14ac:dyDescent="0.3">
      <c r="A130" t="s">
        <v>240</v>
      </c>
      <c r="B130" t="s">
        <v>95</v>
      </c>
      <c r="C130">
        <v>350</v>
      </c>
      <c r="D130" t="s">
        <v>31</v>
      </c>
      <c r="E130" t="s">
        <v>61</v>
      </c>
      <c r="F130" t="s">
        <v>96</v>
      </c>
    </row>
    <row r="131" spans="1:13" x14ac:dyDescent="0.3">
      <c r="A131" t="s">
        <v>240</v>
      </c>
      <c r="B131" t="s">
        <v>98</v>
      </c>
      <c r="C131" t="s">
        <v>60</v>
      </c>
      <c r="D131" t="s">
        <v>70</v>
      </c>
      <c r="E131" t="s">
        <v>80</v>
      </c>
    </row>
    <row r="132" spans="1:13" x14ac:dyDescent="0.3">
      <c r="A132" t="s">
        <v>240</v>
      </c>
      <c r="B132" t="s">
        <v>100</v>
      </c>
      <c r="C132" t="s">
        <v>31</v>
      </c>
      <c r="D132" t="s">
        <v>65</v>
      </c>
      <c r="E132" t="s">
        <v>66</v>
      </c>
      <c r="M132" s="1"/>
    </row>
    <row r="133" spans="1:13" x14ac:dyDescent="0.3">
      <c r="A133" t="s">
        <v>240</v>
      </c>
      <c r="B133" t="s">
        <v>102</v>
      </c>
      <c r="C133">
        <v>150</v>
      </c>
      <c r="D133" t="s">
        <v>60</v>
      </c>
      <c r="E133" t="s">
        <v>61</v>
      </c>
      <c r="F133" t="s">
        <v>103</v>
      </c>
    </row>
    <row r="134" spans="1:13" x14ac:dyDescent="0.3">
      <c r="A134" t="s">
        <v>240</v>
      </c>
      <c r="B134" t="s">
        <v>105</v>
      </c>
      <c r="C134" t="s">
        <v>31</v>
      </c>
      <c r="D134" t="s">
        <v>65</v>
      </c>
      <c r="E134" t="s">
        <v>106</v>
      </c>
    </row>
    <row r="135" spans="1:13" x14ac:dyDescent="0.3">
      <c r="A135" t="s">
        <v>240</v>
      </c>
      <c r="B135" t="s">
        <v>108</v>
      </c>
      <c r="C135">
        <v>250</v>
      </c>
      <c r="D135" t="s">
        <v>60</v>
      </c>
      <c r="E135" t="s">
        <v>61</v>
      </c>
      <c r="F135">
        <v>30</v>
      </c>
      <c r="G135" t="s">
        <v>93</v>
      </c>
    </row>
    <row r="136" spans="1:13" x14ac:dyDescent="0.3">
      <c r="A136" t="s">
        <v>240</v>
      </c>
      <c r="B136" t="s">
        <v>110</v>
      </c>
      <c r="C136">
        <v>150</v>
      </c>
      <c r="D136" t="s">
        <v>31</v>
      </c>
      <c r="E136" t="s">
        <v>70</v>
      </c>
      <c r="F136" t="s">
        <v>62</v>
      </c>
    </row>
    <row r="137" spans="1:13" x14ac:dyDescent="0.3">
      <c r="A137" t="s">
        <v>240</v>
      </c>
      <c r="B137" t="s">
        <v>112</v>
      </c>
      <c r="C137">
        <v>300</v>
      </c>
      <c r="D137" t="s">
        <v>60</v>
      </c>
      <c r="E137" t="s">
        <v>65</v>
      </c>
      <c r="F137" t="s">
        <v>80</v>
      </c>
    </row>
    <row r="138" spans="1:13" x14ac:dyDescent="0.3">
      <c r="A138" t="s">
        <v>240</v>
      </c>
      <c r="B138" t="s">
        <v>114</v>
      </c>
      <c r="C138">
        <v>3</v>
      </c>
      <c r="D138">
        <v>180</v>
      </c>
      <c r="E138" t="s">
        <v>31</v>
      </c>
      <c r="F138" t="s">
        <v>61</v>
      </c>
      <c r="G138">
        <v>10</v>
      </c>
      <c r="H138" t="s">
        <v>115</v>
      </c>
      <c r="M138" s="1"/>
    </row>
    <row r="139" spans="1:13" x14ac:dyDescent="0.3">
      <c r="A139" t="s">
        <v>240</v>
      </c>
      <c r="B139" t="s">
        <v>117</v>
      </c>
      <c r="C139">
        <v>90</v>
      </c>
      <c r="D139" t="s">
        <v>60</v>
      </c>
      <c r="E139" t="s">
        <v>65</v>
      </c>
      <c r="F139">
        <v>0</v>
      </c>
      <c r="G139" t="s">
        <v>71</v>
      </c>
    </row>
    <row r="140" spans="1:13" x14ac:dyDescent="0.3">
      <c r="A140" t="s">
        <v>240</v>
      </c>
      <c r="B140" t="s">
        <v>119</v>
      </c>
      <c r="C140">
        <v>320</v>
      </c>
      <c r="D140" t="s">
        <v>31</v>
      </c>
      <c r="E140" t="s">
        <v>70</v>
      </c>
      <c r="F140" t="s">
        <v>120</v>
      </c>
    </row>
    <row r="141" spans="1:13" x14ac:dyDescent="0.3">
      <c r="A141" t="s">
        <v>240</v>
      </c>
      <c r="B141" t="s">
        <v>122</v>
      </c>
      <c r="C141">
        <v>120</v>
      </c>
      <c r="D141" t="s">
        <v>60</v>
      </c>
      <c r="E141" t="s">
        <v>61</v>
      </c>
      <c r="F141" t="s">
        <v>123</v>
      </c>
    </row>
    <row r="142" spans="1:13" x14ac:dyDescent="0.3">
      <c r="A142" t="s">
        <v>240</v>
      </c>
      <c r="B142" t="s">
        <v>125</v>
      </c>
      <c r="C142">
        <v>1</v>
      </c>
      <c r="D142">
        <v>450</v>
      </c>
      <c r="E142" t="s">
        <v>31</v>
      </c>
      <c r="F142" t="s">
        <v>65</v>
      </c>
      <c r="G142">
        <v>15</v>
      </c>
      <c r="H142" t="s">
        <v>126</v>
      </c>
      <c r="M142" s="1"/>
    </row>
    <row r="143" spans="1:13" x14ac:dyDescent="0.3">
      <c r="A143" t="s">
        <v>240</v>
      </c>
      <c r="B143" t="s">
        <v>128</v>
      </c>
      <c r="C143">
        <v>260</v>
      </c>
      <c r="D143" t="s">
        <v>60</v>
      </c>
      <c r="E143" t="s">
        <v>61</v>
      </c>
      <c r="F143" t="s">
        <v>80</v>
      </c>
    </row>
    <row r="144" spans="1:13" x14ac:dyDescent="0.3">
      <c r="A144" t="s">
        <v>240</v>
      </c>
      <c r="B144" t="s">
        <v>130</v>
      </c>
      <c r="C144">
        <v>300</v>
      </c>
      <c r="D144" t="s">
        <v>31</v>
      </c>
      <c r="E144" t="s">
        <v>70</v>
      </c>
      <c r="F144" t="s">
        <v>66</v>
      </c>
    </row>
    <row r="145" spans="1:13" x14ac:dyDescent="0.3">
      <c r="A145" t="s">
        <v>240</v>
      </c>
      <c r="B145" t="s">
        <v>132</v>
      </c>
      <c r="C145">
        <v>200</v>
      </c>
      <c r="D145" t="s">
        <v>60</v>
      </c>
      <c r="E145" t="s">
        <v>65</v>
      </c>
      <c r="F145" t="s">
        <v>103</v>
      </c>
    </row>
    <row r="146" spans="1:13" x14ac:dyDescent="0.3">
      <c r="A146" t="s">
        <v>240</v>
      </c>
      <c r="B146" t="s">
        <v>134</v>
      </c>
      <c r="C146">
        <v>240</v>
      </c>
      <c r="D146" t="s">
        <v>31</v>
      </c>
      <c r="E146" t="s">
        <v>65</v>
      </c>
      <c r="F146">
        <v>10</v>
      </c>
      <c r="G146" t="s">
        <v>74</v>
      </c>
      <c r="M146" s="1"/>
    </row>
    <row r="147" spans="1:13" x14ac:dyDescent="0.3">
      <c r="A147" t="s">
        <v>240</v>
      </c>
      <c r="B147" t="s">
        <v>136</v>
      </c>
      <c r="C147">
        <v>320</v>
      </c>
      <c r="D147" t="s">
        <v>60</v>
      </c>
      <c r="E147" t="s">
        <v>61</v>
      </c>
      <c r="F147" t="s">
        <v>123</v>
      </c>
    </row>
    <row r="148" spans="1:13" x14ac:dyDescent="0.3">
      <c r="A148" t="s">
        <v>240</v>
      </c>
      <c r="B148" t="s">
        <v>138</v>
      </c>
      <c r="C148">
        <v>200</v>
      </c>
      <c r="D148" t="s">
        <v>31</v>
      </c>
      <c r="E148" t="s">
        <v>61</v>
      </c>
      <c r="F148" t="s">
        <v>62</v>
      </c>
    </row>
    <row r="149" spans="1:13" x14ac:dyDescent="0.3">
      <c r="A149" t="s">
        <v>240</v>
      </c>
      <c r="B149" t="s">
        <v>140</v>
      </c>
      <c r="C149">
        <v>250</v>
      </c>
      <c r="D149" t="s">
        <v>60</v>
      </c>
      <c r="E149" t="s">
        <v>65</v>
      </c>
      <c r="F149" t="s">
        <v>141</v>
      </c>
    </row>
    <row r="150" spans="1:13" x14ac:dyDescent="0.3">
      <c r="A150" t="s">
        <v>240</v>
      </c>
      <c r="B150" t="s">
        <v>143</v>
      </c>
      <c r="C150">
        <v>180</v>
      </c>
      <c r="D150" t="s">
        <v>31</v>
      </c>
      <c r="E150" t="s">
        <v>70</v>
      </c>
      <c r="F150" t="s">
        <v>86</v>
      </c>
    </row>
    <row r="151" spans="1:13" x14ac:dyDescent="0.3">
      <c r="A151" t="s">
        <v>240</v>
      </c>
      <c r="B151" t="s">
        <v>145</v>
      </c>
      <c r="C151">
        <v>200</v>
      </c>
      <c r="D151" t="s">
        <v>60</v>
      </c>
      <c r="E151" t="s">
        <v>65</v>
      </c>
      <c r="F151" t="s">
        <v>103</v>
      </c>
    </row>
    <row r="152" spans="1:13" x14ac:dyDescent="0.3">
      <c r="A152" t="s">
        <v>240</v>
      </c>
      <c r="B152" t="s">
        <v>76</v>
      </c>
      <c r="C152">
        <v>500</v>
      </c>
      <c r="D152" t="s">
        <v>31</v>
      </c>
      <c r="E152" t="s">
        <v>61</v>
      </c>
      <c r="F152">
        <v>15</v>
      </c>
      <c r="G152" t="s">
        <v>74</v>
      </c>
      <c r="M152" s="1"/>
    </row>
    <row r="153" spans="1:13" x14ac:dyDescent="0.3">
      <c r="A153" t="s">
        <v>240</v>
      </c>
      <c r="B153" t="s">
        <v>148</v>
      </c>
      <c r="C153">
        <v>180</v>
      </c>
      <c r="D153" t="s">
        <v>60</v>
      </c>
      <c r="E153" t="s">
        <v>65</v>
      </c>
      <c r="F153" t="s">
        <v>123</v>
      </c>
    </row>
    <row r="154" spans="1:13" x14ac:dyDescent="0.3">
      <c r="A154" t="s">
        <v>240</v>
      </c>
      <c r="B154" t="s">
        <v>150</v>
      </c>
      <c r="C154">
        <v>450</v>
      </c>
      <c r="D154" t="s">
        <v>31</v>
      </c>
      <c r="E154" t="s">
        <v>70</v>
      </c>
      <c r="F154" t="s">
        <v>151</v>
      </c>
    </row>
    <row r="155" spans="1:13" x14ac:dyDescent="0.3">
      <c r="A155" t="s">
        <v>240</v>
      </c>
      <c r="B155" t="s">
        <v>95</v>
      </c>
      <c r="C155">
        <v>300</v>
      </c>
      <c r="D155" t="s">
        <v>60</v>
      </c>
      <c r="E155" t="s">
        <v>61</v>
      </c>
      <c r="F155" t="s">
        <v>80</v>
      </c>
    </row>
    <row r="156" spans="1:13" x14ac:dyDescent="0.3">
      <c r="A156" t="s">
        <v>240</v>
      </c>
      <c r="B156" t="s">
        <v>154</v>
      </c>
      <c r="C156">
        <v>260</v>
      </c>
      <c r="D156" t="s">
        <v>31</v>
      </c>
      <c r="E156" t="s">
        <v>65</v>
      </c>
      <c r="F156" t="s">
        <v>86</v>
      </c>
    </row>
    <row r="157" spans="1:13" x14ac:dyDescent="0.3">
      <c r="A157" t="s">
        <v>240</v>
      </c>
      <c r="B157" t="s">
        <v>156</v>
      </c>
      <c r="C157">
        <v>350</v>
      </c>
      <c r="D157" t="s">
        <v>60</v>
      </c>
      <c r="E157" t="s">
        <v>61</v>
      </c>
      <c r="F157" t="s">
        <v>157</v>
      </c>
    </row>
    <row r="158" spans="1:13" x14ac:dyDescent="0.3">
      <c r="A158" t="s">
        <v>240</v>
      </c>
      <c r="B158" t="s">
        <v>46</v>
      </c>
    </row>
    <row r="159" spans="1:13" x14ac:dyDescent="0.3">
      <c r="A159" t="s">
        <v>240</v>
      </c>
      <c r="B159" t="s">
        <v>48</v>
      </c>
    </row>
    <row r="160" spans="1:13" x14ac:dyDescent="0.3">
      <c r="A160" t="s">
        <v>240</v>
      </c>
      <c r="B160" t="s">
        <v>50</v>
      </c>
    </row>
    <row r="161" spans="1:13" x14ac:dyDescent="0.3">
      <c r="A161" t="s">
        <v>240</v>
      </c>
      <c r="B161" t="s">
        <v>52</v>
      </c>
      <c r="C161" t="s">
        <v>53</v>
      </c>
    </row>
    <row r="162" spans="1:13" x14ac:dyDescent="0.3">
      <c r="A162" t="s">
        <v>240</v>
      </c>
      <c r="B162" t="s">
        <v>55</v>
      </c>
      <c r="C162" t="s">
        <v>56</v>
      </c>
      <c r="D162">
        <v>30</v>
      </c>
      <c r="E162" t="s">
        <v>57</v>
      </c>
      <c r="M162" s="1"/>
    </row>
    <row r="163" spans="1:13" x14ac:dyDescent="0.3">
      <c r="A163" t="s">
        <v>240</v>
      </c>
      <c r="B163" t="s">
        <v>59</v>
      </c>
      <c r="C163" t="s">
        <v>60</v>
      </c>
      <c r="D163" t="s">
        <v>61</v>
      </c>
      <c r="E163" t="s">
        <v>62</v>
      </c>
    </row>
    <row r="164" spans="1:13" x14ac:dyDescent="0.3">
      <c r="A164" t="s">
        <v>240</v>
      </c>
      <c r="B164" t="s">
        <v>64</v>
      </c>
      <c r="C164" t="s">
        <v>31</v>
      </c>
      <c r="D164" t="s">
        <v>65</v>
      </c>
      <c r="E164" t="s">
        <v>66</v>
      </c>
    </row>
    <row r="165" spans="1:13" x14ac:dyDescent="0.3">
      <c r="A165" t="s">
        <v>240</v>
      </c>
      <c r="B165" t="s">
        <v>68</v>
      </c>
      <c r="C165" t="s">
        <v>69</v>
      </c>
      <c r="D165" t="s">
        <v>60</v>
      </c>
      <c r="E165" t="s">
        <v>70</v>
      </c>
      <c r="F165">
        <v>0</v>
      </c>
      <c r="G165" t="s">
        <v>71</v>
      </c>
    </row>
    <row r="166" spans="1:13" x14ac:dyDescent="0.3">
      <c r="A166" t="s">
        <v>240</v>
      </c>
      <c r="B166" t="s">
        <v>73</v>
      </c>
      <c r="C166" t="s">
        <v>31</v>
      </c>
      <c r="D166" t="s">
        <v>65</v>
      </c>
      <c r="E166">
        <v>0</v>
      </c>
      <c r="F166" t="s">
        <v>74</v>
      </c>
      <c r="M166" s="1"/>
    </row>
    <row r="167" spans="1:13" x14ac:dyDescent="0.3">
      <c r="A167" t="s">
        <v>240</v>
      </c>
      <c r="B167" t="s">
        <v>76</v>
      </c>
      <c r="C167">
        <v>500</v>
      </c>
      <c r="D167" t="s">
        <v>60</v>
      </c>
      <c r="E167" t="s">
        <v>61</v>
      </c>
      <c r="F167" t="s">
        <v>77</v>
      </c>
    </row>
    <row r="168" spans="1:13" x14ac:dyDescent="0.3">
      <c r="A168" t="s">
        <v>240</v>
      </c>
      <c r="B168" t="s">
        <v>79</v>
      </c>
      <c r="C168">
        <v>1</v>
      </c>
      <c r="D168">
        <v>160</v>
      </c>
      <c r="E168" t="s">
        <v>31</v>
      </c>
      <c r="F168" t="s">
        <v>70</v>
      </c>
      <c r="G168" t="s">
        <v>80</v>
      </c>
    </row>
    <row r="169" spans="1:13" x14ac:dyDescent="0.3">
      <c r="A169" t="s">
        <v>240</v>
      </c>
      <c r="B169" t="s">
        <v>82</v>
      </c>
      <c r="C169" t="s">
        <v>60</v>
      </c>
      <c r="D169" t="s">
        <v>65</v>
      </c>
      <c r="E169" t="s">
        <v>83</v>
      </c>
    </row>
    <row r="170" spans="1:13" x14ac:dyDescent="0.3">
      <c r="A170" t="s">
        <v>240</v>
      </c>
      <c r="B170" t="s">
        <v>85</v>
      </c>
      <c r="C170" t="s">
        <v>31</v>
      </c>
      <c r="D170" t="s">
        <v>61</v>
      </c>
      <c r="E170" t="s">
        <v>86</v>
      </c>
      <c r="M170" s="1"/>
    </row>
    <row r="171" spans="1:13" x14ac:dyDescent="0.3">
      <c r="A171" t="s">
        <v>240</v>
      </c>
      <c r="B171" t="s">
        <v>88</v>
      </c>
      <c r="C171" t="s">
        <v>60</v>
      </c>
      <c r="D171" t="s">
        <v>65</v>
      </c>
      <c r="E171">
        <v>0</v>
      </c>
      <c r="F171" t="s">
        <v>71</v>
      </c>
    </row>
    <row r="172" spans="1:13" x14ac:dyDescent="0.3">
      <c r="A172" t="s">
        <v>240</v>
      </c>
      <c r="B172" t="s">
        <v>90</v>
      </c>
      <c r="C172">
        <v>100</v>
      </c>
      <c r="D172" t="s">
        <v>31</v>
      </c>
      <c r="E172" t="s">
        <v>70</v>
      </c>
      <c r="F172">
        <v>10</v>
      </c>
      <c r="G172" t="s">
        <v>74</v>
      </c>
      <c r="M172" s="1"/>
    </row>
    <row r="173" spans="1:13" x14ac:dyDescent="0.3">
      <c r="A173" t="s">
        <v>240</v>
      </c>
      <c r="B173" t="s">
        <v>92</v>
      </c>
      <c r="C173">
        <v>320</v>
      </c>
      <c r="D173" t="s">
        <v>60</v>
      </c>
      <c r="E173" t="s">
        <v>65</v>
      </c>
      <c r="F173">
        <v>0</v>
      </c>
      <c r="G173" t="s">
        <v>93</v>
      </c>
    </row>
    <row r="174" spans="1:13" x14ac:dyDescent="0.3">
      <c r="A174" t="s">
        <v>240</v>
      </c>
      <c r="B174" t="s">
        <v>95</v>
      </c>
      <c r="C174">
        <v>350</v>
      </c>
      <c r="D174" t="s">
        <v>31</v>
      </c>
      <c r="E174" t="s">
        <v>61</v>
      </c>
      <c r="F174" t="s">
        <v>96</v>
      </c>
    </row>
    <row r="175" spans="1:13" x14ac:dyDescent="0.3">
      <c r="A175" t="s">
        <v>240</v>
      </c>
      <c r="B175" t="s">
        <v>98</v>
      </c>
      <c r="C175" t="s">
        <v>60</v>
      </c>
      <c r="D175" t="s">
        <v>70</v>
      </c>
      <c r="E175" t="s">
        <v>80</v>
      </c>
    </row>
    <row r="176" spans="1:13" x14ac:dyDescent="0.3">
      <c r="A176" t="s">
        <v>240</v>
      </c>
      <c r="B176" t="s">
        <v>100</v>
      </c>
      <c r="C176" t="s">
        <v>31</v>
      </c>
      <c r="D176" t="s">
        <v>65</v>
      </c>
      <c r="E176" t="s">
        <v>66</v>
      </c>
      <c r="M176" s="1"/>
    </row>
    <row r="177" spans="1:13" x14ac:dyDescent="0.3">
      <c r="A177" t="s">
        <v>240</v>
      </c>
      <c r="B177" t="s">
        <v>102</v>
      </c>
      <c r="C177">
        <v>150</v>
      </c>
      <c r="D177" t="s">
        <v>60</v>
      </c>
      <c r="E177" t="s">
        <v>61</v>
      </c>
      <c r="F177" t="s">
        <v>103</v>
      </c>
    </row>
    <row r="178" spans="1:13" x14ac:dyDescent="0.3">
      <c r="A178" t="s">
        <v>240</v>
      </c>
      <c r="B178" t="s">
        <v>105</v>
      </c>
      <c r="C178" t="s">
        <v>31</v>
      </c>
      <c r="D178" t="s">
        <v>65</v>
      </c>
      <c r="E178" t="s">
        <v>106</v>
      </c>
    </row>
    <row r="179" spans="1:13" x14ac:dyDescent="0.3">
      <c r="A179" t="s">
        <v>240</v>
      </c>
      <c r="B179" t="s">
        <v>108</v>
      </c>
      <c r="C179">
        <v>250</v>
      </c>
      <c r="D179" t="s">
        <v>60</v>
      </c>
      <c r="E179" t="s">
        <v>61</v>
      </c>
      <c r="F179">
        <v>30</v>
      </c>
      <c r="G179" t="s">
        <v>93</v>
      </c>
    </row>
    <row r="180" spans="1:13" x14ac:dyDescent="0.3">
      <c r="A180" t="s">
        <v>240</v>
      </c>
      <c r="B180" t="s">
        <v>110</v>
      </c>
      <c r="C180">
        <v>150</v>
      </c>
      <c r="D180" t="s">
        <v>31</v>
      </c>
      <c r="E180" t="s">
        <v>70</v>
      </c>
      <c r="F180" t="s">
        <v>62</v>
      </c>
    </row>
    <row r="181" spans="1:13" x14ac:dyDescent="0.3">
      <c r="A181" t="s">
        <v>240</v>
      </c>
      <c r="B181" t="s">
        <v>112</v>
      </c>
      <c r="C181">
        <v>300</v>
      </c>
      <c r="D181" t="s">
        <v>60</v>
      </c>
      <c r="E181" t="s">
        <v>65</v>
      </c>
      <c r="F181" t="s">
        <v>80</v>
      </c>
    </row>
    <row r="182" spans="1:13" x14ac:dyDescent="0.3">
      <c r="A182" t="s">
        <v>240</v>
      </c>
      <c r="B182" t="s">
        <v>114</v>
      </c>
      <c r="C182">
        <v>3</v>
      </c>
      <c r="D182">
        <v>180</v>
      </c>
      <c r="E182" t="s">
        <v>31</v>
      </c>
      <c r="F182" t="s">
        <v>61</v>
      </c>
      <c r="G182">
        <v>10</v>
      </c>
      <c r="M182" s="1"/>
    </row>
    <row r="183" spans="1:13" x14ac:dyDescent="0.3">
      <c r="A183" t="s">
        <v>240</v>
      </c>
      <c r="B183" t="s">
        <v>117</v>
      </c>
      <c r="C183">
        <v>90</v>
      </c>
      <c r="D183" t="s">
        <v>60</v>
      </c>
      <c r="E183" t="s">
        <v>65</v>
      </c>
      <c r="F183">
        <v>0</v>
      </c>
      <c r="G183" t="s">
        <v>71</v>
      </c>
    </row>
    <row r="184" spans="1:13" x14ac:dyDescent="0.3">
      <c r="A184" t="s">
        <v>240</v>
      </c>
      <c r="B184" t="s">
        <v>119</v>
      </c>
      <c r="C184">
        <v>320</v>
      </c>
      <c r="D184" t="s">
        <v>31</v>
      </c>
      <c r="E184" t="s">
        <v>70</v>
      </c>
      <c r="F184" t="s">
        <v>120</v>
      </c>
    </row>
    <row r="185" spans="1:13" x14ac:dyDescent="0.3">
      <c r="A185" t="s">
        <v>240</v>
      </c>
      <c r="B185" t="s">
        <v>122</v>
      </c>
      <c r="C185">
        <v>120</v>
      </c>
      <c r="D185" t="s">
        <v>60</v>
      </c>
      <c r="E185" t="s">
        <v>61</v>
      </c>
      <c r="F185" t="s">
        <v>123</v>
      </c>
    </row>
    <row r="186" spans="1:13" x14ac:dyDescent="0.3">
      <c r="A186" t="s">
        <v>240</v>
      </c>
      <c r="B186" t="s">
        <v>125</v>
      </c>
      <c r="C186">
        <v>1</v>
      </c>
      <c r="D186">
        <v>450</v>
      </c>
      <c r="E186" t="s">
        <v>31</v>
      </c>
      <c r="F186" t="s">
        <v>65</v>
      </c>
      <c r="G186">
        <v>15</v>
      </c>
      <c r="M186" s="1"/>
    </row>
    <row r="187" spans="1:13" x14ac:dyDescent="0.3">
      <c r="A187" t="s">
        <v>240</v>
      </c>
      <c r="B187" t="s">
        <v>128</v>
      </c>
      <c r="C187">
        <v>260</v>
      </c>
      <c r="D187" t="s">
        <v>60</v>
      </c>
      <c r="E187" t="s">
        <v>61</v>
      </c>
      <c r="F187" t="s">
        <v>80</v>
      </c>
    </row>
    <row r="188" spans="1:13" x14ac:dyDescent="0.3">
      <c r="A188" t="s">
        <v>240</v>
      </c>
      <c r="B188" t="s">
        <v>130</v>
      </c>
      <c r="C188">
        <v>300</v>
      </c>
      <c r="D188" t="s">
        <v>31</v>
      </c>
      <c r="E188" t="s">
        <v>70</v>
      </c>
      <c r="F188" t="s">
        <v>66</v>
      </c>
    </row>
    <row r="189" spans="1:13" x14ac:dyDescent="0.3">
      <c r="A189" t="s">
        <v>240</v>
      </c>
      <c r="B189" t="s">
        <v>132</v>
      </c>
      <c r="C189">
        <v>200</v>
      </c>
      <c r="D189" t="s">
        <v>60</v>
      </c>
      <c r="E189" t="s">
        <v>65</v>
      </c>
      <c r="F189" t="s">
        <v>103</v>
      </c>
    </row>
    <row r="190" spans="1:13" x14ac:dyDescent="0.3">
      <c r="A190" t="s">
        <v>240</v>
      </c>
      <c r="B190" t="s">
        <v>134</v>
      </c>
      <c r="C190">
        <v>240</v>
      </c>
      <c r="D190" t="s">
        <v>31</v>
      </c>
      <c r="E190" t="s">
        <v>65</v>
      </c>
      <c r="F190">
        <v>10</v>
      </c>
      <c r="G190" t="s">
        <v>74</v>
      </c>
      <c r="M190" s="1"/>
    </row>
    <row r="191" spans="1:13" x14ac:dyDescent="0.3">
      <c r="A191" t="s">
        <v>240</v>
      </c>
      <c r="B191" t="s">
        <v>136</v>
      </c>
      <c r="C191">
        <v>320</v>
      </c>
      <c r="D191" t="s">
        <v>60</v>
      </c>
      <c r="E191" t="s">
        <v>61</v>
      </c>
      <c r="F191" t="s">
        <v>123</v>
      </c>
    </row>
    <row r="192" spans="1:13" x14ac:dyDescent="0.3">
      <c r="A192" t="s">
        <v>240</v>
      </c>
      <c r="B192" t="s">
        <v>138</v>
      </c>
      <c r="C192">
        <v>200</v>
      </c>
      <c r="D192" t="s">
        <v>31</v>
      </c>
      <c r="E192" t="s">
        <v>61</v>
      </c>
      <c r="F192" t="s">
        <v>62</v>
      </c>
    </row>
    <row r="193" spans="1:13" x14ac:dyDescent="0.3">
      <c r="A193" t="s">
        <v>240</v>
      </c>
      <c r="B193" t="s">
        <v>140</v>
      </c>
      <c r="C193">
        <v>250</v>
      </c>
      <c r="D193" t="s">
        <v>60</v>
      </c>
      <c r="E193" t="s">
        <v>65</v>
      </c>
      <c r="F193" t="s">
        <v>141</v>
      </c>
    </row>
    <row r="194" spans="1:13" x14ac:dyDescent="0.3">
      <c r="A194" t="s">
        <v>240</v>
      </c>
      <c r="B194" t="s">
        <v>143</v>
      </c>
      <c r="C194">
        <v>180</v>
      </c>
      <c r="D194" t="s">
        <v>31</v>
      </c>
      <c r="E194" t="s">
        <v>70</v>
      </c>
      <c r="F194" t="s">
        <v>86</v>
      </c>
    </row>
    <row r="195" spans="1:13" x14ac:dyDescent="0.3">
      <c r="A195" t="s">
        <v>240</v>
      </c>
      <c r="B195" t="s">
        <v>145</v>
      </c>
      <c r="C195">
        <v>200</v>
      </c>
      <c r="D195" t="s">
        <v>60</v>
      </c>
      <c r="E195" t="s">
        <v>65</v>
      </c>
      <c r="F195" t="s">
        <v>103</v>
      </c>
    </row>
    <row r="196" spans="1:13" x14ac:dyDescent="0.3">
      <c r="A196" t="s">
        <v>240</v>
      </c>
      <c r="B196" t="s">
        <v>76</v>
      </c>
      <c r="C196">
        <v>500</v>
      </c>
      <c r="D196" t="s">
        <v>31</v>
      </c>
      <c r="E196" t="s">
        <v>61</v>
      </c>
      <c r="F196">
        <v>15</v>
      </c>
      <c r="G196" t="s">
        <v>74</v>
      </c>
      <c r="M196" s="1"/>
    </row>
    <row r="197" spans="1:13" x14ac:dyDescent="0.3">
      <c r="A197" t="s">
        <v>240</v>
      </c>
      <c r="B197" t="s">
        <v>148</v>
      </c>
      <c r="C197">
        <v>180</v>
      </c>
      <c r="D197" t="s">
        <v>60</v>
      </c>
      <c r="E197" t="s">
        <v>65</v>
      </c>
      <c r="F197" t="s">
        <v>123</v>
      </c>
    </row>
    <row r="198" spans="1:13" x14ac:dyDescent="0.3">
      <c r="A198" t="s">
        <v>240</v>
      </c>
      <c r="B198" t="s">
        <v>150</v>
      </c>
      <c r="C198">
        <v>450</v>
      </c>
      <c r="D198" t="s">
        <v>31</v>
      </c>
      <c r="E198" t="s">
        <v>70</v>
      </c>
      <c r="F198" t="s">
        <v>151</v>
      </c>
    </row>
    <row r="199" spans="1:13" x14ac:dyDescent="0.3">
      <c r="A199" t="s">
        <v>240</v>
      </c>
      <c r="B199" t="s">
        <v>95</v>
      </c>
      <c r="C199">
        <v>300</v>
      </c>
      <c r="D199" t="s">
        <v>60</v>
      </c>
      <c r="E199" t="s">
        <v>61</v>
      </c>
      <c r="F199" t="s">
        <v>80</v>
      </c>
    </row>
    <row r="200" spans="1:13" x14ac:dyDescent="0.3">
      <c r="A200" t="s">
        <v>240</v>
      </c>
      <c r="B200" t="s">
        <v>154</v>
      </c>
      <c r="C200">
        <v>260</v>
      </c>
      <c r="D200" t="s">
        <v>31</v>
      </c>
      <c r="E200" t="s">
        <v>65</v>
      </c>
      <c r="F200" t="s">
        <v>86</v>
      </c>
    </row>
    <row r="201" spans="1:13" x14ac:dyDescent="0.3">
      <c r="A201" t="s">
        <v>240</v>
      </c>
      <c r="B201" t="s">
        <v>156</v>
      </c>
      <c r="C201">
        <v>350</v>
      </c>
      <c r="D201" t="s">
        <v>60</v>
      </c>
      <c r="E201" t="s">
        <v>61</v>
      </c>
      <c r="F201" t="s">
        <v>157</v>
      </c>
    </row>
    <row r="202" spans="1:13" x14ac:dyDescent="0.3">
      <c r="A202" t="s">
        <v>240</v>
      </c>
      <c r="B202" t="s">
        <v>159</v>
      </c>
      <c r="C202">
        <v>420</v>
      </c>
      <c r="D202" t="s">
        <v>31</v>
      </c>
      <c r="E202" t="s">
        <v>70</v>
      </c>
      <c r="F202">
        <v>0</v>
      </c>
      <c r="G202" t="s">
        <v>74</v>
      </c>
      <c r="M202" s="1"/>
    </row>
    <row r="203" spans="1:13" x14ac:dyDescent="0.3">
      <c r="A203" t="s">
        <v>240</v>
      </c>
      <c r="B203" t="s">
        <v>161</v>
      </c>
      <c r="C203">
        <v>500</v>
      </c>
      <c r="D203" t="s">
        <v>60</v>
      </c>
      <c r="E203" t="s">
        <v>65</v>
      </c>
      <c r="F203" t="s">
        <v>123</v>
      </c>
    </row>
    <row r="204" spans="1:13" x14ac:dyDescent="0.3">
      <c r="A204" t="s">
        <v>240</v>
      </c>
      <c r="B204" t="s">
        <v>163</v>
      </c>
      <c r="C204">
        <v>220</v>
      </c>
      <c r="D204" t="s">
        <v>31</v>
      </c>
      <c r="E204" t="s">
        <v>65</v>
      </c>
      <c r="F204" t="s">
        <v>164</v>
      </c>
    </row>
    <row r="205" spans="1:13" x14ac:dyDescent="0.3">
      <c r="A205" t="s">
        <v>240</v>
      </c>
      <c r="B205" t="s">
        <v>166</v>
      </c>
      <c r="C205">
        <v>180</v>
      </c>
      <c r="D205" t="s">
        <v>60</v>
      </c>
      <c r="E205" t="s">
        <v>70</v>
      </c>
      <c r="F205" t="s">
        <v>80</v>
      </c>
    </row>
    <row r="206" spans="1:13" x14ac:dyDescent="0.3">
      <c r="A206" t="s">
        <v>240</v>
      </c>
      <c r="B206" t="s">
        <v>168</v>
      </c>
      <c r="C206">
        <v>280</v>
      </c>
      <c r="D206" t="s">
        <v>31</v>
      </c>
      <c r="E206" t="s">
        <v>61</v>
      </c>
      <c r="F206">
        <v>0</v>
      </c>
      <c r="G206" t="s">
        <v>115</v>
      </c>
      <c r="M206" s="1"/>
    </row>
    <row r="207" spans="1:13" x14ac:dyDescent="0.3">
      <c r="A207" t="s">
        <v>240</v>
      </c>
      <c r="B207" t="s">
        <v>76</v>
      </c>
      <c r="C207">
        <v>500</v>
      </c>
      <c r="D207" t="s">
        <v>60</v>
      </c>
      <c r="E207" t="s">
        <v>61</v>
      </c>
      <c r="F207" t="s">
        <v>170</v>
      </c>
    </row>
    <row r="208" spans="1:13" x14ac:dyDescent="0.3">
      <c r="A208" t="s">
        <v>240</v>
      </c>
      <c r="B208" t="s">
        <v>172</v>
      </c>
      <c r="C208">
        <v>160</v>
      </c>
      <c r="D208" t="s">
        <v>31</v>
      </c>
      <c r="E208" t="s">
        <v>70</v>
      </c>
      <c r="F208" t="s">
        <v>106</v>
      </c>
    </row>
    <row r="209" spans="1:13" x14ac:dyDescent="0.3">
      <c r="A209" t="s">
        <v>240</v>
      </c>
      <c r="B209" t="s">
        <v>174</v>
      </c>
      <c r="C209">
        <v>380</v>
      </c>
      <c r="D209" t="s">
        <v>60</v>
      </c>
      <c r="E209" t="s">
        <v>65</v>
      </c>
      <c r="F209" t="s">
        <v>123</v>
      </c>
    </row>
    <row r="210" spans="1:13" x14ac:dyDescent="0.3">
      <c r="A210" t="s">
        <v>240</v>
      </c>
      <c r="B210" t="s">
        <v>176</v>
      </c>
      <c r="C210">
        <v>200</v>
      </c>
      <c r="D210" t="s">
        <v>31</v>
      </c>
      <c r="E210" t="s">
        <v>65</v>
      </c>
      <c r="F210">
        <v>10</v>
      </c>
      <c r="G210" t="s">
        <v>126</v>
      </c>
      <c r="M210" s="1"/>
    </row>
    <row r="211" spans="1:13" x14ac:dyDescent="0.3">
      <c r="A211" t="s">
        <v>240</v>
      </c>
      <c r="B211" t="s">
        <v>178</v>
      </c>
      <c r="C211">
        <v>140</v>
      </c>
      <c r="D211" t="s">
        <v>60</v>
      </c>
      <c r="E211" t="s">
        <v>61</v>
      </c>
      <c r="F211" t="s">
        <v>80</v>
      </c>
    </row>
    <row r="212" spans="1:13" x14ac:dyDescent="0.3">
      <c r="A212" t="s">
        <v>240</v>
      </c>
      <c r="B212" t="s">
        <v>90</v>
      </c>
      <c r="C212">
        <v>100</v>
      </c>
      <c r="D212" t="s">
        <v>31</v>
      </c>
      <c r="E212" t="s">
        <v>65</v>
      </c>
      <c r="F212" t="s">
        <v>86</v>
      </c>
    </row>
    <row r="213" spans="1:13" x14ac:dyDescent="0.3">
      <c r="A213" t="s">
        <v>240</v>
      </c>
      <c r="B213" t="s">
        <v>73</v>
      </c>
      <c r="C213" t="s">
        <v>31</v>
      </c>
      <c r="D213" t="s">
        <v>65</v>
      </c>
      <c r="E213" t="s">
        <v>151</v>
      </c>
    </row>
    <row r="214" spans="1:13" x14ac:dyDescent="0.3">
      <c r="A214" t="s">
        <v>240</v>
      </c>
      <c r="B214" t="s">
        <v>161</v>
      </c>
      <c r="C214">
        <v>500</v>
      </c>
      <c r="D214" t="s">
        <v>60</v>
      </c>
      <c r="E214" t="s">
        <v>61</v>
      </c>
      <c r="F214">
        <v>0</v>
      </c>
      <c r="G214" t="s">
        <v>115</v>
      </c>
    </row>
    <row r="215" spans="1:13" x14ac:dyDescent="0.3">
      <c r="A215" t="s">
        <v>240</v>
      </c>
      <c r="B215" t="s">
        <v>163</v>
      </c>
      <c r="C215">
        <v>220</v>
      </c>
      <c r="D215" t="s">
        <v>31</v>
      </c>
      <c r="E215" t="s">
        <v>70</v>
      </c>
      <c r="F215">
        <v>0</v>
      </c>
      <c r="G215" t="s">
        <v>71</v>
      </c>
    </row>
    <row r="216" spans="1:13" x14ac:dyDescent="0.3">
      <c r="A216" t="s">
        <v>240</v>
      </c>
      <c r="B216" t="s">
        <v>166</v>
      </c>
      <c r="C216">
        <v>180</v>
      </c>
      <c r="D216" t="s">
        <v>60</v>
      </c>
      <c r="E216" t="s">
        <v>65</v>
      </c>
      <c r="F216">
        <v>0</v>
      </c>
      <c r="G216" t="s">
        <v>74</v>
      </c>
    </row>
    <row r="217" spans="1:13" x14ac:dyDescent="0.3">
      <c r="A217" t="s">
        <v>240</v>
      </c>
      <c r="B217" t="s">
        <v>168</v>
      </c>
      <c r="C217">
        <v>280</v>
      </c>
      <c r="D217" t="s">
        <v>31</v>
      </c>
      <c r="E217" t="s">
        <v>61</v>
      </c>
      <c r="F217" t="s">
        <v>77</v>
      </c>
    </row>
    <row r="218" spans="1:13" x14ac:dyDescent="0.3">
      <c r="A218" t="s">
        <v>240</v>
      </c>
      <c r="B218" t="s">
        <v>76</v>
      </c>
      <c r="C218">
        <v>500</v>
      </c>
      <c r="D218" t="s">
        <v>60</v>
      </c>
      <c r="E218" t="s">
        <v>65</v>
      </c>
      <c r="F218" t="s">
        <v>80</v>
      </c>
    </row>
    <row r="219" spans="1:13" x14ac:dyDescent="0.3">
      <c r="A219" t="s">
        <v>240</v>
      </c>
      <c r="B219" t="s">
        <v>172</v>
      </c>
      <c r="C219">
        <v>160</v>
      </c>
      <c r="D219" t="s">
        <v>31</v>
      </c>
      <c r="E219" t="s">
        <v>70</v>
      </c>
      <c r="F219">
        <v>15</v>
      </c>
      <c r="G219" t="s">
        <v>126</v>
      </c>
    </row>
    <row r="220" spans="1:13" x14ac:dyDescent="0.3">
      <c r="A220" t="s">
        <v>240</v>
      </c>
      <c r="B220" t="s">
        <v>188</v>
      </c>
      <c r="C220" t="s">
        <v>60</v>
      </c>
      <c r="D220" t="s">
        <v>61</v>
      </c>
      <c r="E220" t="s">
        <v>86</v>
      </c>
      <c r="M220" s="1"/>
    </row>
    <row r="221" spans="1:13" x14ac:dyDescent="0.3">
      <c r="A221" t="s">
        <v>240</v>
      </c>
      <c r="B221" t="s">
        <v>190</v>
      </c>
      <c r="C221" t="s">
        <v>31</v>
      </c>
      <c r="D221" t="s">
        <v>65</v>
      </c>
      <c r="E221">
        <v>0</v>
      </c>
      <c r="F221" t="s">
        <v>71</v>
      </c>
    </row>
    <row r="222" spans="1:13" x14ac:dyDescent="0.3">
      <c r="A222" t="s">
        <v>240</v>
      </c>
      <c r="B222" t="s">
        <v>178</v>
      </c>
      <c r="C222">
        <v>140</v>
      </c>
      <c r="D222" t="s">
        <v>60</v>
      </c>
      <c r="E222" t="s">
        <v>65</v>
      </c>
      <c r="F222">
        <v>20</v>
      </c>
      <c r="G222" t="s">
        <v>74</v>
      </c>
      <c r="M222" s="1"/>
    </row>
    <row r="223" spans="1:13" x14ac:dyDescent="0.3">
      <c r="A223" t="s">
        <v>240</v>
      </c>
      <c r="B223" t="s">
        <v>90</v>
      </c>
      <c r="C223">
        <v>100</v>
      </c>
      <c r="D223" t="s">
        <v>31</v>
      </c>
      <c r="E223" t="s">
        <v>70</v>
      </c>
      <c r="F223">
        <v>0</v>
      </c>
      <c r="G223" t="s">
        <v>93</v>
      </c>
    </row>
    <row r="224" spans="1:13" x14ac:dyDescent="0.3">
      <c r="A224" t="s">
        <v>240</v>
      </c>
      <c r="B224" t="s">
        <v>92</v>
      </c>
      <c r="C224">
        <v>320</v>
      </c>
      <c r="D224" t="s">
        <v>60</v>
      </c>
      <c r="E224" t="s">
        <v>61</v>
      </c>
      <c r="F224" t="s">
        <v>62</v>
      </c>
    </row>
    <row r="225" spans="1:13" x14ac:dyDescent="0.3">
      <c r="A225" t="s">
        <v>240</v>
      </c>
      <c r="B225" t="s">
        <v>95</v>
      </c>
      <c r="C225">
        <v>350</v>
      </c>
      <c r="D225" t="s">
        <v>31</v>
      </c>
      <c r="E225" t="s">
        <v>65</v>
      </c>
      <c r="F225">
        <v>25</v>
      </c>
      <c r="G225" t="s">
        <v>195</v>
      </c>
    </row>
    <row r="226" spans="1:13" x14ac:dyDescent="0.3">
      <c r="A226" t="s">
        <v>240</v>
      </c>
      <c r="B226" t="s">
        <v>98</v>
      </c>
      <c r="C226" t="s">
        <v>60</v>
      </c>
      <c r="D226" t="s">
        <v>65</v>
      </c>
      <c r="E226" t="s">
        <v>86</v>
      </c>
      <c r="M226" s="1"/>
    </row>
    <row r="227" spans="1:13" x14ac:dyDescent="0.3">
      <c r="A227" t="s">
        <v>240</v>
      </c>
      <c r="B227" t="s">
        <v>198</v>
      </c>
      <c r="C227">
        <v>300</v>
      </c>
      <c r="D227" t="s">
        <v>31</v>
      </c>
      <c r="E227" t="s">
        <v>61</v>
      </c>
      <c r="F227" t="s">
        <v>103</v>
      </c>
    </row>
    <row r="228" spans="1:13" x14ac:dyDescent="0.3">
      <c r="A228" t="s">
        <v>240</v>
      </c>
      <c r="B228" t="s">
        <v>102</v>
      </c>
      <c r="C228">
        <v>150</v>
      </c>
      <c r="D228" t="s">
        <v>60</v>
      </c>
      <c r="E228" t="s">
        <v>65</v>
      </c>
      <c r="F228">
        <v>10</v>
      </c>
      <c r="G228" t="s">
        <v>74</v>
      </c>
    </row>
    <row r="229" spans="1:13" x14ac:dyDescent="0.3">
      <c r="A229" t="s">
        <v>240</v>
      </c>
      <c r="B229" t="s">
        <v>201</v>
      </c>
      <c r="C229">
        <v>400</v>
      </c>
      <c r="D229" t="s">
        <v>31</v>
      </c>
      <c r="E229" t="s">
        <v>70</v>
      </c>
      <c r="F229">
        <v>0</v>
      </c>
      <c r="G229" t="s">
        <v>93</v>
      </c>
    </row>
    <row r="230" spans="1:13" x14ac:dyDescent="0.3">
      <c r="A230" t="s">
        <v>240</v>
      </c>
      <c r="B230" t="s">
        <v>108</v>
      </c>
      <c r="C230">
        <v>250</v>
      </c>
      <c r="D230" t="s">
        <v>60</v>
      </c>
      <c r="E230" t="s">
        <v>61</v>
      </c>
      <c r="F230" t="s">
        <v>62</v>
      </c>
    </row>
    <row r="231" spans="1:13" x14ac:dyDescent="0.3">
      <c r="A231" t="s">
        <v>240</v>
      </c>
      <c r="B231" t="s">
        <v>110</v>
      </c>
      <c r="C231">
        <v>150</v>
      </c>
      <c r="D231" t="s">
        <v>31</v>
      </c>
      <c r="E231" t="s">
        <v>65</v>
      </c>
      <c r="F231" t="s">
        <v>204</v>
      </c>
    </row>
    <row r="232" spans="1:13" x14ac:dyDescent="0.3">
      <c r="A232" t="s">
        <v>240</v>
      </c>
      <c r="B232" t="s">
        <v>112</v>
      </c>
      <c r="C232">
        <v>300</v>
      </c>
      <c r="D232" t="s">
        <v>60</v>
      </c>
      <c r="E232" t="s">
        <v>65</v>
      </c>
      <c r="F232">
        <v>0</v>
      </c>
      <c r="G232" t="s">
        <v>115</v>
      </c>
      <c r="M232" s="1"/>
    </row>
    <row r="233" spans="1:13" x14ac:dyDescent="0.3">
      <c r="A233" t="s">
        <v>240</v>
      </c>
      <c r="B233" t="s">
        <v>207</v>
      </c>
      <c r="C233">
        <v>180</v>
      </c>
      <c r="D233" t="s">
        <v>31</v>
      </c>
      <c r="E233" t="s">
        <v>61</v>
      </c>
      <c r="F233" t="s">
        <v>103</v>
      </c>
    </row>
    <row r="234" spans="1:13" x14ac:dyDescent="0.3">
      <c r="A234" t="s">
        <v>240</v>
      </c>
      <c r="B234" t="s">
        <v>117</v>
      </c>
      <c r="C234">
        <v>90</v>
      </c>
      <c r="D234" t="s">
        <v>60</v>
      </c>
      <c r="E234" t="s">
        <v>65</v>
      </c>
      <c r="F234" t="s">
        <v>120</v>
      </c>
    </row>
    <row r="235" spans="1:13" x14ac:dyDescent="0.3">
      <c r="A235" t="s">
        <v>240</v>
      </c>
      <c r="B235" t="s">
        <v>119</v>
      </c>
      <c r="C235">
        <v>320</v>
      </c>
      <c r="D235" t="s">
        <v>31</v>
      </c>
      <c r="E235" t="s">
        <v>70</v>
      </c>
      <c r="F235">
        <v>0</v>
      </c>
      <c r="G235" t="s">
        <v>93</v>
      </c>
    </row>
    <row r="236" spans="1:13" x14ac:dyDescent="0.3">
      <c r="A236" t="s">
        <v>240</v>
      </c>
      <c r="B236" t="s">
        <v>122</v>
      </c>
      <c r="C236">
        <v>120</v>
      </c>
      <c r="D236" t="s">
        <v>60</v>
      </c>
      <c r="E236" t="s">
        <v>65</v>
      </c>
      <c r="F236">
        <v>0</v>
      </c>
      <c r="G236" t="s">
        <v>126</v>
      </c>
      <c r="M236" s="1"/>
    </row>
    <row r="237" spans="1:13" x14ac:dyDescent="0.3">
      <c r="A237" t="s">
        <v>240</v>
      </c>
      <c r="B237" t="s">
        <v>212</v>
      </c>
      <c r="C237">
        <v>450</v>
      </c>
      <c r="D237" t="s">
        <v>31</v>
      </c>
      <c r="E237" t="s">
        <v>61</v>
      </c>
      <c r="F237">
        <v>10</v>
      </c>
      <c r="G237" t="s">
        <v>195</v>
      </c>
    </row>
    <row r="238" spans="1:13" x14ac:dyDescent="0.3">
      <c r="A238" t="s">
        <v>240</v>
      </c>
      <c r="B238" t="s">
        <v>128</v>
      </c>
      <c r="C238">
        <v>260</v>
      </c>
      <c r="D238" t="s">
        <v>60</v>
      </c>
      <c r="E238" t="s">
        <v>61</v>
      </c>
      <c r="F238" t="s">
        <v>86</v>
      </c>
    </row>
    <row r="239" spans="1:13" x14ac:dyDescent="0.3">
      <c r="A239" t="s">
        <v>240</v>
      </c>
      <c r="B239" t="s">
        <v>130</v>
      </c>
      <c r="C239">
        <v>300</v>
      </c>
      <c r="D239" t="s">
        <v>31</v>
      </c>
      <c r="E239" t="s">
        <v>70</v>
      </c>
      <c r="F239" t="s">
        <v>103</v>
      </c>
    </row>
    <row r="240" spans="1:13" x14ac:dyDescent="0.3">
      <c r="A240" t="s">
        <v>240</v>
      </c>
      <c r="B240" t="s">
        <v>132</v>
      </c>
      <c r="C240">
        <v>200</v>
      </c>
      <c r="D240" t="s">
        <v>60</v>
      </c>
      <c r="E240" t="s">
        <v>65</v>
      </c>
      <c r="F240">
        <v>25</v>
      </c>
      <c r="G240" t="s">
        <v>74</v>
      </c>
      <c r="M240" s="1"/>
    </row>
    <row r="241" spans="1:13" x14ac:dyDescent="0.3">
      <c r="A241" t="s">
        <v>240</v>
      </c>
      <c r="B241" t="s">
        <v>134</v>
      </c>
      <c r="C241">
        <v>240</v>
      </c>
      <c r="D241" t="s">
        <v>31</v>
      </c>
      <c r="E241" t="s">
        <v>65</v>
      </c>
      <c r="F241">
        <v>0</v>
      </c>
      <c r="G241" t="s">
        <v>93</v>
      </c>
    </row>
    <row r="242" spans="1:13" x14ac:dyDescent="0.3">
      <c r="A242" t="s">
        <v>240</v>
      </c>
      <c r="B242" t="s">
        <v>136</v>
      </c>
      <c r="C242">
        <v>320</v>
      </c>
      <c r="D242" t="s">
        <v>60</v>
      </c>
      <c r="E242" t="s">
        <v>61</v>
      </c>
      <c r="F242" t="s">
        <v>62</v>
      </c>
    </row>
    <row r="243" spans="1:13" x14ac:dyDescent="0.3">
      <c r="A243" t="s">
        <v>240</v>
      </c>
      <c r="B243" t="s">
        <v>138</v>
      </c>
      <c r="C243">
        <v>200</v>
      </c>
      <c r="D243" t="s">
        <v>31</v>
      </c>
      <c r="E243" t="s">
        <v>65</v>
      </c>
      <c r="F243" t="s">
        <v>80</v>
      </c>
    </row>
    <row r="244" spans="1:13" x14ac:dyDescent="0.3">
      <c r="A244" t="s">
        <v>240</v>
      </c>
      <c r="B244" t="s">
        <v>140</v>
      </c>
      <c r="C244">
        <v>250</v>
      </c>
      <c r="D244" t="s">
        <v>60</v>
      </c>
      <c r="E244" t="s">
        <v>70</v>
      </c>
      <c r="F244" t="s">
        <v>220</v>
      </c>
    </row>
    <row r="245" spans="1:13" x14ac:dyDescent="0.3">
      <c r="A245" t="s">
        <v>240</v>
      </c>
      <c r="B245" t="s">
        <v>143</v>
      </c>
      <c r="C245">
        <v>180</v>
      </c>
      <c r="D245" t="s">
        <v>31</v>
      </c>
      <c r="E245" t="s">
        <v>65</v>
      </c>
      <c r="F245" t="s">
        <v>103</v>
      </c>
    </row>
    <row r="246" spans="1:13" x14ac:dyDescent="0.3">
      <c r="A246" t="s">
        <v>240</v>
      </c>
      <c r="B246" t="s">
        <v>145</v>
      </c>
      <c r="C246">
        <v>200</v>
      </c>
      <c r="D246" t="s">
        <v>60</v>
      </c>
      <c r="E246" t="s">
        <v>61</v>
      </c>
      <c r="F246">
        <v>0</v>
      </c>
      <c r="G246" t="s">
        <v>74</v>
      </c>
      <c r="M246" s="1"/>
    </row>
    <row r="247" spans="1:13" x14ac:dyDescent="0.3">
      <c r="A247" t="s">
        <v>240</v>
      </c>
      <c r="B247" t="s">
        <v>76</v>
      </c>
      <c r="C247">
        <v>500</v>
      </c>
      <c r="D247" t="s">
        <v>31</v>
      </c>
      <c r="E247" t="s">
        <v>65</v>
      </c>
      <c r="F247">
        <v>30</v>
      </c>
      <c r="G247" t="s">
        <v>93</v>
      </c>
    </row>
    <row r="248" spans="1:13" x14ac:dyDescent="0.3">
      <c r="A248" t="s">
        <v>240</v>
      </c>
      <c r="B248" t="s">
        <v>148</v>
      </c>
      <c r="C248">
        <v>180</v>
      </c>
      <c r="D248" t="s">
        <v>60</v>
      </c>
      <c r="E248" t="s">
        <v>65</v>
      </c>
      <c r="F248" t="s">
        <v>62</v>
      </c>
    </row>
    <row r="249" spans="1:13" x14ac:dyDescent="0.3">
      <c r="A249" t="s">
        <v>240</v>
      </c>
      <c r="B249" t="s">
        <v>150</v>
      </c>
      <c r="C249">
        <v>450</v>
      </c>
      <c r="D249" t="s">
        <v>31</v>
      </c>
      <c r="E249" t="s">
        <v>70</v>
      </c>
      <c r="F249" t="s">
        <v>80</v>
      </c>
    </row>
    <row r="250" spans="1:13" x14ac:dyDescent="0.3">
      <c r="A250" t="s">
        <v>240</v>
      </c>
      <c r="B250" t="s">
        <v>95</v>
      </c>
      <c r="C250">
        <v>300</v>
      </c>
      <c r="D250" t="s">
        <v>60</v>
      </c>
      <c r="E250" t="s">
        <v>61</v>
      </c>
      <c r="F250">
        <v>10</v>
      </c>
      <c r="G250" t="s">
        <v>115</v>
      </c>
      <c r="M250" s="1"/>
    </row>
    <row r="251" spans="1:13" x14ac:dyDescent="0.3">
      <c r="A251" t="s">
        <v>240</v>
      </c>
      <c r="B251" t="s">
        <v>154</v>
      </c>
      <c r="C251">
        <v>260</v>
      </c>
      <c r="D251" t="s">
        <v>31</v>
      </c>
      <c r="E251" t="s">
        <v>61</v>
      </c>
      <c r="F251" t="s">
        <v>103</v>
      </c>
    </row>
    <row r="252" spans="1:13" x14ac:dyDescent="0.3">
      <c r="A252" t="s">
        <v>240</v>
      </c>
      <c r="B252" t="s">
        <v>156</v>
      </c>
      <c r="C252">
        <v>350</v>
      </c>
      <c r="D252" t="s">
        <v>60</v>
      </c>
      <c r="E252" t="s">
        <v>65</v>
      </c>
      <c r="F252" t="s">
        <v>106</v>
      </c>
    </row>
    <row r="253" spans="1:13" x14ac:dyDescent="0.3">
      <c r="A253" t="s">
        <v>240</v>
      </c>
      <c r="B253" t="s">
        <v>159</v>
      </c>
      <c r="C253">
        <v>420</v>
      </c>
      <c r="D253" t="s">
        <v>31</v>
      </c>
      <c r="E253" t="s">
        <v>70</v>
      </c>
      <c r="F253" t="s">
        <v>230</v>
      </c>
    </row>
    <row r="254" spans="1:13" x14ac:dyDescent="0.3">
      <c r="A254" t="s">
        <v>240</v>
      </c>
      <c r="B254" t="s">
        <v>161</v>
      </c>
      <c r="C254">
        <v>500</v>
      </c>
      <c r="D254" t="s">
        <v>60</v>
      </c>
      <c r="E254" t="s">
        <v>61</v>
      </c>
      <c r="F254" t="s">
        <v>62</v>
      </c>
    </row>
    <row r="255" spans="1:13" x14ac:dyDescent="0.3">
      <c r="A255" t="s">
        <v>240</v>
      </c>
      <c r="B255" t="s">
        <v>163</v>
      </c>
      <c r="C255">
        <v>220</v>
      </c>
      <c r="D255" t="s">
        <v>31</v>
      </c>
      <c r="E255" t="s">
        <v>65</v>
      </c>
      <c r="F255" t="s">
        <v>80</v>
      </c>
    </row>
    <row r="256" spans="1:13" x14ac:dyDescent="0.3">
      <c r="A256" t="s">
        <v>240</v>
      </c>
      <c r="B256" t="s">
        <v>166</v>
      </c>
      <c r="C256">
        <v>180</v>
      </c>
      <c r="D256" t="s">
        <v>60</v>
      </c>
      <c r="E256" t="s">
        <v>70</v>
      </c>
      <c r="F256">
        <v>15</v>
      </c>
      <c r="G256" t="s">
        <v>115</v>
      </c>
      <c r="M256" s="1"/>
    </row>
    <row r="257" spans="1:13" x14ac:dyDescent="0.3">
      <c r="A257" t="s">
        <v>240</v>
      </c>
      <c r="B257" t="s">
        <v>168</v>
      </c>
      <c r="C257">
        <v>280</v>
      </c>
      <c r="D257" t="s">
        <v>31</v>
      </c>
      <c r="E257" t="s">
        <v>61</v>
      </c>
      <c r="F257" t="s">
        <v>103</v>
      </c>
    </row>
    <row r="258" spans="1:13" x14ac:dyDescent="0.3">
      <c r="A258" t="s">
        <v>240</v>
      </c>
      <c r="B258" t="s">
        <v>76</v>
      </c>
      <c r="C258">
        <v>500</v>
      </c>
      <c r="D258" t="s">
        <v>60</v>
      </c>
      <c r="E258" t="s">
        <v>65</v>
      </c>
      <c r="F258" t="s">
        <v>106</v>
      </c>
    </row>
    <row r="259" spans="1:13" x14ac:dyDescent="0.3">
      <c r="A259" t="s">
        <v>240</v>
      </c>
      <c r="B259" t="s">
        <v>172</v>
      </c>
      <c r="C259">
        <v>160</v>
      </c>
      <c r="D259" t="s">
        <v>31</v>
      </c>
      <c r="E259" t="s">
        <v>70</v>
      </c>
      <c r="F259" t="s">
        <v>123</v>
      </c>
    </row>
    <row r="260" spans="1:13" x14ac:dyDescent="0.3">
      <c r="A260" t="s">
        <v>240</v>
      </c>
      <c r="B260" t="s">
        <v>174</v>
      </c>
      <c r="C260">
        <v>380</v>
      </c>
      <c r="D260" t="s">
        <v>60</v>
      </c>
      <c r="E260" t="s">
        <v>65</v>
      </c>
      <c r="F260">
        <v>10</v>
      </c>
      <c r="G260" t="s">
        <v>126</v>
      </c>
      <c r="M260" s="1"/>
    </row>
    <row r="261" spans="1:13" x14ac:dyDescent="0.3">
      <c r="A261" t="s">
        <v>240</v>
      </c>
      <c r="B261" t="s">
        <v>176</v>
      </c>
      <c r="C261">
        <v>200</v>
      </c>
      <c r="D261" t="s">
        <v>31</v>
      </c>
      <c r="E261" t="s">
        <v>61</v>
      </c>
      <c r="F261" t="s">
        <v>80</v>
      </c>
    </row>
    <row r="262" spans="1:13" x14ac:dyDescent="0.3">
      <c r="A262" t="s">
        <v>240</v>
      </c>
      <c r="B262" t="s">
        <v>178</v>
      </c>
      <c r="C262">
        <v>140</v>
      </c>
      <c r="D262" t="s">
        <v>60</v>
      </c>
      <c r="E262" t="s">
        <v>65</v>
      </c>
      <c r="F262" t="s">
        <v>86</v>
      </c>
    </row>
    <row r="263" spans="1:13" x14ac:dyDescent="0.3">
      <c r="A263" t="s">
        <v>240</v>
      </c>
      <c r="B263" t="s">
        <v>52</v>
      </c>
      <c r="C263" t="s">
        <v>53</v>
      </c>
    </row>
    <row r="264" spans="1:13" x14ac:dyDescent="0.3">
      <c r="A264" t="s">
        <v>240</v>
      </c>
      <c r="B264" t="s">
        <v>55</v>
      </c>
      <c r="C264" t="s">
        <v>56</v>
      </c>
      <c r="D264">
        <v>30</v>
      </c>
      <c r="E264" t="s">
        <v>57</v>
      </c>
      <c r="M264" s="1"/>
    </row>
    <row r="265" spans="1:13" x14ac:dyDescent="0.3">
      <c r="A265" t="s">
        <v>240</v>
      </c>
      <c r="B265" t="s">
        <v>59</v>
      </c>
      <c r="C265" t="s">
        <v>60</v>
      </c>
      <c r="D265" t="s">
        <v>61</v>
      </c>
      <c r="E265" t="s">
        <v>62</v>
      </c>
    </row>
    <row r="266" spans="1:13" x14ac:dyDescent="0.3">
      <c r="A266" t="s">
        <v>240</v>
      </c>
      <c r="B266" t="s">
        <v>64</v>
      </c>
      <c r="C266" t="s">
        <v>31</v>
      </c>
      <c r="D266" t="s">
        <v>65</v>
      </c>
      <c r="E266" t="s">
        <v>66</v>
      </c>
    </row>
    <row r="267" spans="1:13" x14ac:dyDescent="0.3">
      <c r="A267" t="s">
        <v>240</v>
      </c>
      <c r="B267" t="s">
        <v>68</v>
      </c>
      <c r="C267" t="s">
        <v>69</v>
      </c>
      <c r="D267" t="s">
        <v>60</v>
      </c>
      <c r="E267" t="s">
        <v>70</v>
      </c>
      <c r="F267">
        <v>0</v>
      </c>
      <c r="G267" t="s">
        <v>71</v>
      </c>
    </row>
    <row r="268" spans="1:13" x14ac:dyDescent="0.3">
      <c r="A268" t="s">
        <v>240</v>
      </c>
      <c r="B268" t="s">
        <v>73</v>
      </c>
      <c r="C268" t="s">
        <v>31</v>
      </c>
      <c r="D268" t="s">
        <v>65</v>
      </c>
      <c r="E268">
        <v>0</v>
      </c>
      <c r="F268" t="s">
        <v>74</v>
      </c>
      <c r="M268" s="1"/>
    </row>
    <row r="269" spans="1:13" x14ac:dyDescent="0.3">
      <c r="A269" t="s">
        <v>240</v>
      </c>
      <c r="B269" t="s">
        <v>76</v>
      </c>
      <c r="C269">
        <v>500</v>
      </c>
      <c r="D269" t="s">
        <v>60</v>
      </c>
      <c r="E269" t="s">
        <v>61</v>
      </c>
      <c r="F269" t="s">
        <v>77</v>
      </c>
    </row>
    <row r="270" spans="1:13" x14ac:dyDescent="0.3">
      <c r="A270" t="s">
        <v>240</v>
      </c>
      <c r="B270" t="s">
        <v>79</v>
      </c>
      <c r="C270">
        <v>1</v>
      </c>
      <c r="D270">
        <v>160</v>
      </c>
      <c r="E270" t="s">
        <v>31</v>
      </c>
      <c r="F270" t="s">
        <v>70</v>
      </c>
      <c r="G270" t="s">
        <v>80</v>
      </c>
    </row>
    <row r="271" spans="1:13" x14ac:dyDescent="0.3">
      <c r="A271" t="s">
        <v>240</v>
      </c>
      <c r="B271" t="s">
        <v>82</v>
      </c>
      <c r="C271" t="s">
        <v>60</v>
      </c>
      <c r="D271" t="s">
        <v>65</v>
      </c>
      <c r="E271" t="s">
        <v>83</v>
      </c>
    </row>
    <row r="272" spans="1:13" x14ac:dyDescent="0.3">
      <c r="A272" t="s">
        <v>240</v>
      </c>
      <c r="B272" t="s">
        <v>85</v>
      </c>
      <c r="C272" t="s">
        <v>31</v>
      </c>
      <c r="D272" t="s">
        <v>61</v>
      </c>
      <c r="E272" t="s">
        <v>86</v>
      </c>
      <c r="M272" s="1"/>
    </row>
    <row r="273" spans="1:13" x14ac:dyDescent="0.3">
      <c r="A273" t="s">
        <v>240</v>
      </c>
      <c r="B273" t="s">
        <v>88</v>
      </c>
      <c r="C273" t="s">
        <v>60</v>
      </c>
      <c r="D273" t="s">
        <v>65</v>
      </c>
      <c r="E273">
        <v>0</v>
      </c>
      <c r="F273" t="s">
        <v>71</v>
      </c>
    </row>
    <row r="274" spans="1:13" x14ac:dyDescent="0.3">
      <c r="A274" t="s">
        <v>240</v>
      </c>
      <c r="B274" t="s">
        <v>90</v>
      </c>
      <c r="C274">
        <v>100</v>
      </c>
      <c r="D274" t="s">
        <v>31</v>
      </c>
      <c r="E274" t="s">
        <v>70</v>
      </c>
      <c r="F274">
        <v>10</v>
      </c>
      <c r="G274" t="s">
        <v>74</v>
      </c>
      <c r="M274" s="1"/>
    </row>
    <row r="275" spans="1:13" x14ac:dyDescent="0.3">
      <c r="A275" t="s">
        <v>240</v>
      </c>
      <c r="B275" t="s">
        <v>92</v>
      </c>
      <c r="C275">
        <v>320</v>
      </c>
      <c r="D275" t="s">
        <v>60</v>
      </c>
      <c r="E275" t="s">
        <v>65</v>
      </c>
      <c r="F275">
        <v>0</v>
      </c>
      <c r="G275" t="s">
        <v>93</v>
      </c>
    </row>
    <row r="276" spans="1:13" x14ac:dyDescent="0.3">
      <c r="A276" t="s">
        <v>240</v>
      </c>
      <c r="B276" t="s">
        <v>95</v>
      </c>
      <c r="C276">
        <v>350</v>
      </c>
      <c r="D276" t="s">
        <v>31</v>
      </c>
      <c r="E276" t="s">
        <v>61</v>
      </c>
      <c r="F276" t="s">
        <v>96</v>
      </c>
    </row>
    <row r="277" spans="1:13" x14ac:dyDescent="0.3">
      <c r="A277" t="s">
        <v>240</v>
      </c>
      <c r="B277" t="s">
        <v>98</v>
      </c>
      <c r="C277" t="s">
        <v>60</v>
      </c>
      <c r="D277" t="s">
        <v>70</v>
      </c>
      <c r="E277" t="s">
        <v>80</v>
      </c>
    </row>
    <row r="278" spans="1:13" x14ac:dyDescent="0.3">
      <c r="A278" t="s">
        <v>240</v>
      </c>
      <c r="B278" t="s">
        <v>100</v>
      </c>
      <c r="C278" t="s">
        <v>31</v>
      </c>
      <c r="D278" t="s">
        <v>65</v>
      </c>
      <c r="E278" t="s">
        <v>66</v>
      </c>
      <c r="M278" s="1"/>
    </row>
    <row r="279" spans="1:13" x14ac:dyDescent="0.3">
      <c r="A279" t="s">
        <v>240</v>
      </c>
      <c r="B279" t="s">
        <v>102</v>
      </c>
      <c r="C279">
        <v>150</v>
      </c>
      <c r="D279" t="s">
        <v>60</v>
      </c>
      <c r="E279" t="s">
        <v>61</v>
      </c>
      <c r="F279" t="s">
        <v>103</v>
      </c>
    </row>
    <row r="280" spans="1:13" x14ac:dyDescent="0.3">
      <c r="A280" t="s">
        <v>240</v>
      </c>
      <c r="B280" t="s">
        <v>105</v>
      </c>
      <c r="C280" t="s">
        <v>31</v>
      </c>
      <c r="D280" t="s">
        <v>65</v>
      </c>
      <c r="E280" t="s">
        <v>106</v>
      </c>
    </row>
    <row r="281" spans="1:13" x14ac:dyDescent="0.3">
      <c r="A281" t="s">
        <v>240</v>
      </c>
      <c r="B281" t="s">
        <v>108</v>
      </c>
      <c r="C281">
        <v>250</v>
      </c>
      <c r="D281" t="s">
        <v>60</v>
      </c>
      <c r="E281" t="s">
        <v>61</v>
      </c>
      <c r="F281">
        <v>30</v>
      </c>
      <c r="G281" t="s">
        <v>93</v>
      </c>
    </row>
    <row r="282" spans="1:13" x14ac:dyDescent="0.3">
      <c r="A282" t="s">
        <v>240</v>
      </c>
      <c r="B282" t="s">
        <v>110</v>
      </c>
      <c r="C282">
        <v>150</v>
      </c>
      <c r="D282" t="s">
        <v>31</v>
      </c>
      <c r="E282" t="s">
        <v>70</v>
      </c>
      <c r="F282" t="s">
        <v>62</v>
      </c>
    </row>
    <row r="283" spans="1:13" x14ac:dyDescent="0.3">
      <c r="A283" t="s">
        <v>240</v>
      </c>
      <c r="B283" t="s">
        <v>112</v>
      </c>
      <c r="C283">
        <v>300</v>
      </c>
      <c r="D283" t="s">
        <v>60</v>
      </c>
      <c r="E283" t="s">
        <v>65</v>
      </c>
      <c r="F283" t="s">
        <v>80</v>
      </c>
    </row>
    <row r="284" spans="1:13" x14ac:dyDescent="0.3">
      <c r="A284" t="s">
        <v>240</v>
      </c>
      <c r="B284" t="s">
        <v>114</v>
      </c>
      <c r="C284">
        <v>3</v>
      </c>
      <c r="D284">
        <v>180</v>
      </c>
      <c r="E284" t="s">
        <v>31</v>
      </c>
      <c r="F284" t="s">
        <v>61</v>
      </c>
      <c r="G284">
        <v>10</v>
      </c>
      <c r="M284" s="1"/>
    </row>
    <row r="285" spans="1:13" x14ac:dyDescent="0.3">
      <c r="A285" t="s">
        <v>240</v>
      </c>
      <c r="B285" t="s">
        <v>117</v>
      </c>
      <c r="C285">
        <v>90</v>
      </c>
      <c r="D285" t="s">
        <v>60</v>
      </c>
      <c r="E285" t="s">
        <v>65</v>
      </c>
      <c r="F285">
        <v>0</v>
      </c>
      <c r="G285" t="s">
        <v>71</v>
      </c>
    </row>
    <row r="286" spans="1:13" x14ac:dyDescent="0.3">
      <c r="A286" t="s">
        <v>240</v>
      </c>
      <c r="B286" t="s">
        <v>119</v>
      </c>
      <c r="C286">
        <v>320</v>
      </c>
      <c r="D286" t="s">
        <v>31</v>
      </c>
      <c r="E286" t="s">
        <v>70</v>
      </c>
      <c r="F286" t="s">
        <v>120</v>
      </c>
    </row>
    <row r="287" spans="1:13" x14ac:dyDescent="0.3">
      <c r="A287" t="s">
        <v>240</v>
      </c>
      <c r="B287" t="s">
        <v>122</v>
      </c>
      <c r="C287">
        <v>120</v>
      </c>
      <c r="D287" t="s">
        <v>60</v>
      </c>
      <c r="E287" t="s">
        <v>61</v>
      </c>
      <c r="F287" t="s">
        <v>123</v>
      </c>
    </row>
    <row r="288" spans="1:13" x14ac:dyDescent="0.3">
      <c r="A288" t="s">
        <v>240</v>
      </c>
      <c r="B288" t="s">
        <v>125</v>
      </c>
      <c r="C288">
        <v>1</v>
      </c>
      <c r="D288">
        <v>450</v>
      </c>
      <c r="E288" t="s">
        <v>31</v>
      </c>
      <c r="F288" t="s">
        <v>65</v>
      </c>
      <c r="G288">
        <v>15</v>
      </c>
      <c r="M288" s="1"/>
    </row>
    <row r="289" spans="1:13" x14ac:dyDescent="0.3">
      <c r="A289" t="s">
        <v>240</v>
      </c>
      <c r="B289" t="s">
        <v>128</v>
      </c>
      <c r="C289">
        <v>260</v>
      </c>
      <c r="D289" t="s">
        <v>60</v>
      </c>
      <c r="E289" t="s">
        <v>61</v>
      </c>
      <c r="F289" t="s">
        <v>80</v>
      </c>
    </row>
    <row r="290" spans="1:13" x14ac:dyDescent="0.3">
      <c r="A290" t="s">
        <v>240</v>
      </c>
      <c r="B290" t="s">
        <v>130</v>
      </c>
      <c r="C290">
        <v>300</v>
      </c>
      <c r="D290" t="s">
        <v>31</v>
      </c>
      <c r="E290" t="s">
        <v>70</v>
      </c>
      <c r="F290" t="s">
        <v>66</v>
      </c>
    </row>
    <row r="291" spans="1:13" x14ac:dyDescent="0.3">
      <c r="A291" t="s">
        <v>240</v>
      </c>
      <c r="B291" t="s">
        <v>132</v>
      </c>
      <c r="C291">
        <v>200</v>
      </c>
      <c r="D291" t="s">
        <v>60</v>
      </c>
      <c r="E291" t="s">
        <v>65</v>
      </c>
      <c r="F291" t="s">
        <v>103</v>
      </c>
    </row>
    <row r="292" spans="1:13" x14ac:dyDescent="0.3">
      <c r="A292" t="s">
        <v>240</v>
      </c>
      <c r="B292" t="s">
        <v>134</v>
      </c>
      <c r="C292">
        <v>240</v>
      </c>
      <c r="D292" t="s">
        <v>31</v>
      </c>
      <c r="E292" t="s">
        <v>65</v>
      </c>
      <c r="F292">
        <v>10</v>
      </c>
      <c r="G292" t="s">
        <v>74</v>
      </c>
      <c r="M292" s="1"/>
    </row>
    <row r="293" spans="1:13" x14ac:dyDescent="0.3">
      <c r="A293" t="s">
        <v>240</v>
      </c>
      <c r="B293" t="s">
        <v>136</v>
      </c>
      <c r="C293">
        <v>320</v>
      </c>
      <c r="D293" t="s">
        <v>60</v>
      </c>
      <c r="E293" t="s">
        <v>61</v>
      </c>
      <c r="F293" t="s">
        <v>123</v>
      </c>
    </row>
    <row r="294" spans="1:13" x14ac:dyDescent="0.3">
      <c r="A294" t="s">
        <v>240</v>
      </c>
      <c r="B294" t="s">
        <v>138</v>
      </c>
      <c r="C294">
        <v>200</v>
      </c>
      <c r="D294" t="s">
        <v>31</v>
      </c>
      <c r="E294" t="s">
        <v>61</v>
      </c>
      <c r="F294" t="s">
        <v>62</v>
      </c>
    </row>
    <row r="295" spans="1:13" x14ac:dyDescent="0.3">
      <c r="A295" t="s">
        <v>240</v>
      </c>
      <c r="B295" t="s">
        <v>140</v>
      </c>
      <c r="C295">
        <v>250</v>
      </c>
      <c r="D295" t="s">
        <v>60</v>
      </c>
      <c r="E295" t="s">
        <v>65</v>
      </c>
      <c r="F295" t="s">
        <v>141</v>
      </c>
    </row>
    <row r="296" spans="1:13" x14ac:dyDescent="0.3">
      <c r="A296" t="s">
        <v>240</v>
      </c>
      <c r="B296" t="s">
        <v>143</v>
      </c>
      <c r="C296">
        <v>180</v>
      </c>
      <c r="D296" t="s">
        <v>31</v>
      </c>
      <c r="E296" t="s">
        <v>70</v>
      </c>
      <c r="F296" t="s">
        <v>86</v>
      </c>
    </row>
    <row r="297" spans="1:13" x14ac:dyDescent="0.3">
      <c r="A297" t="s">
        <v>240</v>
      </c>
      <c r="B297" t="s">
        <v>145</v>
      </c>
      <c r="C297">
        <v>200</v>
      </c>
      <c r="D297" t="s">
        <v>60</v>
      </c>
      <c r="E297" t="s">
        <v>65</v>
      </c>
      <c r="F297" t="s">
        <v>103</v>
      </c>
    </row>
    <row r="298" spans="1:13" x14ac:dyDescent="0.3">
      <c r="A298" t="s">
        <v>240</v>
      </c>
      <c r="B298" t="s">
        <v>76</v>
      </c>
      <c r="C298">
        <v>500</v>
      </c>
      <c r="D298" t="s">
        <v>31</v>
      </c>
      <c r="E298" t="s">
        <v>61</v>
      </c>
      <c r="F298">
        <v>15</v>
      </c>
      <c r="G298" t="s">
        <v>74</v>
      </c>
      <c r="M298" s="1"/>
    </row>
    <row r="299" spans="1:13" x14ac:dyDescent="0.3">
      <c r="A299" t="s">
        <v>240</v>
      </c>
      <c r="B299" t="s">
        <v>172</v>
      </c>
      <c r="C299">
        <v>160</v>
      </c>
      <c r="D299" t="s">
        <v>31</v>
      </c>
      <c r="E299" t="s">
        <v>70</v>
      </c>
      <c r="F299" t="s">
        <v>106</v>
      </c>
    </row>
    <row r="300" spans="1:13" x14ac:dyDescent="0.3">
      <c r="A300" t="s">
        <v>240</v>
      </c>
      <c r="B300" t="s">
        <v>174</v>
      </c>
      <c r="C300">
        <v>380</v>
      </c>
      <c r="D300" t="s">
        <v>60</v>
      </c>
      <c r="E300" t="s">
        <v>65</v>
      </c>
      <c r="F300" t="s">
        <v>123</v>
      </c>
    </row>
    <row r="301" spans="1:13" x14ac:dyDescent="0.3">
      <c r="A301" t="s">
        <v>240</v>
      </c>
      <c r="B301" t="s">
        <v>176</v>
      </c>
      <c r="C301">
        <v>200</v>
      </c>
      <c r="D301" t="s">
        <v>31</v>
      </c>
      <c r="E301" t="s">
        <v>65</v>
      </c>
      <c r="F301">
        <v>10</v>
      </c>
      <c r="G301" t="s">
        <v>126</v>
      </c>
      <c r="M301" s="1"/>
    </row>
    <row r="302" spans="1:13" x14ac:dyDescent="0.3">
      <c r="A302" t="s">
        <v>240</v>
      </c>
      <c r="B302" t="s">
        <v>178</v>
      </c>
      <c r="C302">
        <v>140</v>
      </c>
      <c r="D302" t="s">
        <v>60</v>
      </c>
      <c r="E302" t="s">
        <v>61</v>
      </c>
      <c r="F302" t="s">
        <v>80</v>
      </c>
    </row>
    <row r="303" spans="1:13" x14ac:dyDescent="0.3">
      <c r="A303" t="s">
        <v>240</v>
      </c>
      <c r="B303" t="s">
        <v>90</v>
      </c>
      <c r="C303">
        <v>100</v>
      </c>
      <c r="D303" t="s">
        <v>31</v>
      </c>
      <c r="E303" t="s">
        <v>65</v>
      </c>
      <c r="F303" t="s">
        <v>86</v>
      </c>
    </row>
    <row r="304" spans="1:13" x14ac:dyDescent="0.3">
      <c r="A304" t="s">
        <v>240</v>
      </c>
      <c r="B304" t="s">
        <v>73</v>
      </c>
      <c r="C304" t="s">
        <v>31</v>
      </c>
      <c r="D304" t="s">
        <v>65</v>
      </c>
      <c r="E304" t="s">
        <v>151</v>
      </c>
    </row>
    <row r="305" spans="1:13" x14ac:dyDescent="0.3">
      <c r="A305" t="s">
        <v>240</v>
      </c>
      <c r="B305" t="s">
        <v>161</v>
      </c>
      <c r="C305">
        <v>500</v>
      </c>
      <c r="D305" t="s">
        <v>60</v>
      </c>
      <c r="E305" t="s">
        <v>61</v>
      </c>
      <c r="F305">
        <v>0</v>
      </c>
      <c r="G305" t="s">
        <v>115</v>
      </c>
    </row>
    <row r="306" spans="1:13" x14ac:dyDescent="0.3">
      <c r="A306" t="s">
        <v>240</v>
      </c>
      <c r="B306" t="s">
        <v>163</v>
      </c>
      <c r="C306">
        <v>220</v>
      </c>
      <c r="D306" t="s">
        <v>31</v>
      </c>
      <c r="E306" t="s">
        <v>70</v>
      </c>
      <c r="F306">
        <v>0</v>
      </c>
      <c r="G306" t="s">
        <v>71</v>
      </c>
    </row>
    <row r="307" spans="1:13" x14ac:dyDescent="0.3">
      <c r="A307" t="s">
        <v>240</v>
      </c>
      <c r="B307" t="s">
        <v>166</v>
      </c>
      <c r="C307">
        <v>180</v>
      </c>
      <c r="D307" t="s">
        <v>60</v>
      </c>
      <c r="E307" t="s">
        <v>65</v>
      </c>
      <c r="F307">
        <v>0</v>
      </c>
      <c r="G307" t="s">
        <v>74</v>
      </c>
    </row>
    <row r="308" spans="1:13" x14ac:dyDescent="0.3">
      <c r="A308" t="s">
        <v>240</v>
      </c>
      <c r="B308" t="s">
        <v>168</v>
      </c>
      <c r="C308">
        <v>280</v>
      </c>
      <c r="D308" t="s">
        <v>31</v>
      </c>
      <c r="E308" t="s">
        <v>61</v>
      </c>
      <c r="F308" t="s">
        <v>77</v>
      </c>
    </row>
    <row r="309" spans="1:13" x14ac:dyDescent="0.3">
      <c r="A309" t="s">
        <v>240</v>
      </c>
      <c r="B309" t="s">
        <v>76</v>
      </c>
      <c r="C309">
        <v>500</v>
      </c>
      <c r="D309" t="s">
        <v>60</v>
      </c>
      <c r="E309" t="s">
        <v>65</v>
      </c>
      <c r="F309" t="s">
        <v>80</v>
      </c>
    </row>
    <row r="310" spans="1:13" x14ac:dyDescent="0.3">
      <c r="A310" t="s">
        <v>240</v>
      </c>
      <c r="B310" t="s">
        <v>172</v>
      </c>
      <c r="C310">
        <v>160</v>
      </c>
      <c r="D310" t="s">
        <v>31</v>
      </c>
      <c r="E310" t="s">
        <v>70</v>
      </c>
      <c r="F310">
        <v>15</v>
      </c>
      <c r="G310" t="s">
        <v>126</v>
      </c>
    </row>
    <row r="311" spans="1:13" x14ac:dyDescent="0.3">
      <c r="A311" t="s">
        <v>240</v>
      </c>
      <c r="B311" t="s">
        <v>188</v>
      </c>
      <c r="C311" t="s">
        <v>60</v>
      </c>
      <c r="D311" t="s">
        <v>61</v>
      </c>
      <c r="E311" t="s">
        <v>86</v>
      </c>
      <c r="M311" s="1"/>
    </row>
    <row r="312" spans="1:13" x14ac:dyDescent="0.3">
      <c r="A312" t="s">
        <v>240</v>
      </c>
      <c r="B312" t="s">
        <v>190</v>
      </c>
      <c r="C312" t="s">
        <v>31</v>
      </c>
      <c r="D312" t="s">
        <v>65</v>
      </c>
      <c r="E312">
        <v>0</v>
      </c>
      <c r="F312" t="s">
        <v>71</v>
      </c>
    </row>
    <row r="313" spans="1:13" x14ac:dyDescent="0.3">
      <c r="A313" t="s">
        <v>240</v>
      </c>
      <c r="B313" t="s">
        <v>178</v>
      </c>
      <c r="C313">
        <v>140</v>
      </c>
      <c r="D313" t="s">
        <v>60</v>
      </c>
      <c r="E313" t="s">
        <v>65</v>
      </c>
      <c r="F313">
        <v>20</v>
      </c>
      <c r="G313" t="s">
        <v>74</v>
      </c>
      <c r="M313" s="1"/>
    </row>
    <row r="314" spans="1:13" x14ac:dyDescent="0.3">
      <c r="A314" t="s">
        <v>240</v>
      </c>
      <c r="B314" t="s">
        <v>90</v>
      </c>
      <c r="C314">
        <v>100</v>
      </c>
      <c r="D314" t="s">
        <v>31</v>
      </c>
      <c r="E314" t="s">
        <v>70</v>
      </c>
      <c r="F314">
        <v>0</v>
      </c>
      <c r="G314" t="s">
        <v>93</v>
      </c>
    </row>
    <row r="315" spans="1:13" x14ac:dyDescent="0.3">
      <c r="A315" t="s">
        <v>240</v>
      </c>
      <c r="B315" t="s">
        <v>92</v>
      </c>
      <c r="C315">
        <v>320</v>
      </c>
      <c r="D315" t="s">
        <v>60</v>
      </c>
      <c r="E315" t="s">
        <v>61</v>
      </c>
      <c r="F315" t="s">
        <v>62</v>
      </c>
    </row>
    <row r="316" spans="1:13" x14ac:dyDescent="0.3">
      <c r="A316" t="s">
        <v>240</v>
      </c>
      <c r="B316" t="s">
        <v>95</v>
      </c>
      <c r="C316">
        <v>350</v>
      </c>
      <c r="D316" t="s">
        <v>31</v>
      </c>
      <c r="E316" t="s">
        <v>65</v>
      </c>
      <c r="F316">
        <v>25</v>
      </c>
      <c r="G316" t="s">
        <v>195</v>
      </c>
    </row>
    <row r="317" spans="1:13" x14ac:dyDescent="0.3">
      <c r="A317" t="s">
        <v>240</v>
      </c>
      <c r="B317" t="s">
        <v>98</v>
      </c>
      <c r="C317" t="s">
        <v>60</v>
      </c>
      <c r="D317" t="s">
        <v>65</v>
      </c>
      <c r="E317" t="s">
        <v>86</v>
      </c>
      <c r="M317" s="1"/>
    </row>
    <row r="318" spans="1:13" x14ac:dyDescent="0.3">
      <c r="A318" t="s">
        <v>240</v>
      </c>
      <c r="B318" t="s">
        <v>198</v>
      </c>
      <c r="C318">
        <v>300</v>
      </c>
      <c r="D318" t="s">
        <v>31</v>
      </c>
      <c r="E318" t="s">
        <v>61</v>
      </c>
      <c r="F318" t="s">
        <v>103</v>
      </c>
    </row>
    <row r="319" spans="1:13" x14ac:dyDescent="0.3">
      <c r="A319" t="s">
        <v>240</v>
      </c>
      <c r="B319" t="s">
        <v>102</v>
      </c>
      <c r="C319">
        <v>150</v>
      </c>
      <c r="D319" t="s">
        <v>60</v>
      </c>
      <c r="E319" t="s">
        <v>65</v>
      </c>
      <c r="F319">
        <v>10</v>
      </c>
      <c r="G319" t="s">
        <v>74</v>
      </c>
    </row>
    <row r="320" spans="1:13" x14ac:dyDescent="0.3">
      <c r="A320" t="s">
        <v>240</v>
      </c>
      <c r="B320" t="s">
        <v>201</v>
      </c>
      <c r="C320">
        <v>400</v>
      </c>
      <c r="D320" t="s">
        <v>31</v>
      </c>
      <c r="E320" t="s">
        <v>70</v>
      </c>
      <c r="F320">
        <v>0</v>
      </c>
      <c r="G320" t="s">
        <v>93</v>
      </c>
    </row>
    <row r="321" spans="1:13" x14ac:dyDescent="0.3">
      <c r="A321" t="s">
        <v>240</v>
      </c>
      <c r="B321" t="s">
        <v>108</v>
      </c>
      <c r="C321">
        <v>250</v>
      </c>
      <c r="D321" t="s">
        <v>60</v>
      </c>
      <c r="E321" t="s">
        <v>61</v>
      </c>
      <c r="F321" t="s">
        <v>62</v>
      </c>
    </row>
    <row r="322" spans="1:13" x14ac:dyDescent="0.3">
      <c r="A322" t="s">
        <v>240</v>
      </c>
      <c r="B322" t="s">
        <v>110</v>
      </c>
      <c r="C322">
        <v>150</v>
      </c>
      <c r="D322" t="s">
        <v>31</v>
      </c>
      <c r="E322" t="s">
        <v>65</v>
      </c>
      <c r="F322" t="s">
        <v>204</v>
      </c>
    </row>
    <row r="323" spans="1:13" x14ac:dyDescent="0.3">
      <c r="A323" t="s">
        <v>240</v>
      </c>
      <c r="B323" t="s">
        <v>112</v>
      </c>
      <c r="C323">
        <v>300</v>
      </c>
      <c r="D323" t="s">
        <v>60</v>
      </c>
      <c r="E323" t="s">
        <v>65</v>
      </c>
      <c r="F323">
        <v>0</v>
      </c>
      <c r="G323" t="s">
        <v>115</v>
      </c>
      <c r="M323" s="1"/>
    </row>
    <row r="324" spans="1:13" x14ac:dyDescent="0.3">
      <c r="A324" t="s">
        <v>240</v>
      </c>
      <c r="B324" t="s">
        <v>207</v>
      </c>
      <c r="C324">
        <v>180</v>
      </c>
      <c r="D324" t="s">
        <v>31</v>
      </c>
      <c r="E324" t="s">
        <v>61</v>
      </c>
      <c r="F324" t="s">
        <v>103</v>
      </c>
    </row>
    <row r="325" spans="1:13" x14ac:dyDescent="0.3">
      <c r="A325" t="s">
        <v>240</v>
      </c>
      <c r="B325" t="s">
        <v>117</v>
      </c>
      <c r="C325">
        <v>90</v>
      </c>
      <c r="D325" t="s">
        <v>60</v>
      </c>
      <c r="E325" t="s">
        <v>65</v>
      </c>
      <c r="F325" t="s">
        <v>120</v>
      </c>
    </row>
    <row r="326" spans="1:13" x14ac:dyDescent="0.3">
      <c r="A326" t="s">
        <v>240</v>
      </c>
      <c r="B326" t="s">
        <v>119</v>
      </c>
      <c r="C326">
        <v>320</v>
      </c>
      <c r="D326" t="s">
        <v>31</v>
      </c>
      <c r="E326" t="s">
        <v>70</v>
      </c>
      <c r="F326">
        <v>0</v>
      </c>
      <c r="G326" t="s">
        <v>93</v>
      </c>
    </row>
    <row r="327" spans="1:13" x14ac:dyDescent="0.3">
      <c r="A327" t="s">
        <v>240</v>
      </c>
      <c r="B327" t="s">
        <v>122</v>
      </c>
      <c r="C327">
        <v>120</v>
      </c>
      <c r="D327" t="s">
        <v>60</v>
      </c>
      <c r="E327" t="s">
        <v>65</v>
      </c>
      <c r="F327">
        <v>0</v>
      </c>
      <c r="G327" t="s">
        <v>126</v>
      </c>
      <c r="M327" s="1"/>
    </row>
    <row r="328" spans="1:13" x14ac:dyDescent="0.3">
      <c r="A328" t="s">
        <v>240</v>
      </c>
      <c r="B328" t="s">
        <v>212</v>
      </c>
      <c r="C328">
        <v>450</v>
      </c>
      <c r="D328" t="s">
        <v>31</v>
      </c>
      <c r="E328" t="s">
        <v>61</v>
      </c>
      <c r="F328">
        <v>10</v>
      </c>
      <c r="G328" t="s">
        <v>195</v>
      </c>
    </row>
    <row r="329" spans="1:13" x14ac:dyDescent="0.3">
      <c r="A329" t="s">
        <v>240</v>
      </c>
      <c r="B329" t="s">
        <v>128</v>
      </c>
      <c r="C329">
        <v>260</v>
      </c>
      <c r="D329" t="s">
        <v>60</v>
      </c>
      <c r="E329" t="s">
        <v>61</v>
      </c>
      <c r="F329" t="s">
        <v>86</v>
      </c>
    </row>
    <row r="330" spans="1:13" x14ac:dyDescent="0.3">
      <c r="A330" t="s">
        <v>240</v>
      </c>
      <c r="B330" t="s">
        <v>130</v>
      </c>
      <c r="C330">
        <v>300</v>
      </c>
      <c r="D330" t="s">
        <v>31</v>
      </c>
      <c r="E330" t="s">
        <v>70</v>
      </c>
      <c r="F330" t="s">
        <v>103</v>
      </c>
    </row>
    <row r="331" spans="1:13" x14ac:dyDescent="0.3">
      <c r="A331" t="s">
        <v>240</v>
      </c>
      <c r="B331" t="s">
        <v>132</v>
      </c>
      <c r="C331">
        <v>200</v>
      </c>
      <c r="D331" t="s">
        <v>60</v>
      </c>
      <c r="E331" t="s">
        <v>65</v>
      </c>
      <c r="F331">
        <v>25</v>
      </c>
      <c r="G331" t="s">
        <v>74</v>
      </c>
      <c r="M331" s="1"/>
    </row>
    <row r="332" spans="1:13" x14ac:dyDescent="0.3">
      <c r="A332" t="s">
        <v>240</v>
      </c>
      <c r="B332" t="s">
        <v>134</v>
      </c>
      <c r="C332">
        <v>240</v>
      </c>
      <c r="D332" t="s">
        <v>31</v>
      </c>
      <c r="E332" t="s">
        <v>65</v>
      </c>
      <c r="F332">
        <v>0</v>
      </c>
      <c r="G332" t="s">
        <v>93</v>
      </c>
    </row>
    <row r="333" spans="1:13" x14ac:dyDescent="0.3">
      <c r="A333" t="s">
        <v>240</v>
      </c>
      <c r="B333" t="s">
        <v>136</v>
      </c>
      <c r="C333">
        <v>320</v>
      </c>
      <c r="D333" t="s">
        <v>60</v>
      </c>
      <c r="E333" t="s">
        <v>61</v>
      </c>
      <c r="F333" t="s">
        <v>62</v>
      </c>
    </row>
    <row r="334" spans="1:13" x14ac:dyDescent="0.3">
      <c r="A334" t="s">
        <v>240</v>
      </c>
      <c r="B334" t="s">
        <v>138</v>
      </c>
      <c r="C334">
        <v>200</v>
      </c>
      <c r="D334" t="s">
        <v>31</v>
      </c>
      <c r="E334" t="s">
        <v>65</v>
      </c>
      <c r="F334" t="s">
        <v>80</v>
      </c>
    </row>
    <row r="335" spans="1:13" x14ac:dyDescent="0.3">
      <c r="A335" t="s">
        <v>240</v>
      </c>
      <c r="B335" t="s">
        <v>140</v>
      </c>
      <c r="C335">
        <v>250</v>
      </c>
      <c r="D335" t="s">
        <v>60</v>
      </c>
      <c r="E335" t="s">
        <v>70</v>
      </c>
      <c r="F335" t="s">
        <v>220</v>
      </c>
    </row>
    <row r="336" spans="1:13" x14ac:dyDescent="0.3">
      <c r="A336" t="s">
        <v>240</v>
      </c>
      <c r="B336" t="s">
        <v>143</v>
      </c>
      <c r="C336">
        <v>180</v>
      </c>
      <c r="D336" t="s">
        <v>31</v>
      </c>
      <c r="E336" t="s">
        <v>65</v>
      </c>
      <c r="F336" t="s">
        <v>103</v>
      </c>
    </row>
    <row r="337" spans="1:13" x14ac:dyDescent="0.3">
      <c r="A337" t="s">
        <v>240</v>
      </c>
      <c r="B337" t="s">
        <v>145</v>
      </c>
      <c r="C337">
        <v>200</v>
      </c>
      <c r="D337" t="s">
        <v>60</v>
      </c>
      <c r="E337" t="s">
        <v>61</v>
      </c>
      <c r="F337">
        <v>0</v>
      </c>
      <c r="G337" t="s">
        <v>74</v>
      </c>
      <c r="M337" s="1"/>
    </row>
    <row r="338" spans="1:13" x14ac:dyDescent="0.3">
      <c r="A338" t="s">
        <v>240</v>
      </c>
      <c r="B338" t="s">
        <v>76</v>
      </c>
      <c r="C338">
        <v>500</v>
      </c>
      <c r="D338" t="s">
        <v>31</v>
      </c>
      <c r="E338" t="s">
        <v>65</v>
      </c>
      <c r="F338">
        <v>30</v>
      </c>
      <c r="G338" t="s">
        <v>93</v>
      </c>
    </row>
    <row r="339" spans="1:13" x14ac:dyDescent="0.3">
      <c r="A339" t="s">
        <v>240</v>
      </c>
      <c r="B339" t="s">
        <v>148</v>
      </c>
      <c r="C339">
        <v>180</v>
      </c>
      <c r="D339" t="s">
        <v>60</v>
      </c>
      <c r="E339" t="s">
        <v>65</v>
      </c>
      <c r="F339" t="s">
        <v>62</v>
      </c>
    </row>
    <row r="340" spans="1:13" x14ac:dyDescent="0.3">
      <c r="A340" t="s">
        <v>240</v>
      </c>
      <c r="B340" t="s">
        <v>150</v>
      </c>
      <c r="C340">
        <v>450</v>
      </c>
      <c r="D340" t="s">
        <v>31</v>
      </c>
      <c r="E340" t="s">
        <v>70</v>
      </c>
      <c r="F340" t="s">
        <v>80</v>
      </c>
    </row>
    <row r="341" spans="1:13" x14ac:dyDescent="0.3">
      <c r="A341" t="s">
        <v>240</v>
      </c>
      <c r="B341" t="s">
        <v>95</v>
      </c>
      <c r="C341">
        <v>300</v>
      </c>
      <c r="D341" t="s">
        <v>60</v>
      </c>
      <c r="E341" t="s">
        <v>61</v>
      </c>
      <c r="F341">
        <v>10</v>
      </c>
      <c r="G341" t="s">
        <v>115</v>
      </c>
      <c r="M341" s="1"/>
    </row>
    <row r="342" spans="1:13" x14ac:dyDescent="0.3">
      <c r="A342" t="s">
        <v>240</v>
      </c>
      <c r="B342" t="s">
        <v>154</v>
      </c>
      <c r="C342">
        <v>260</v>
      </c>
      <c r="D342" t="s">
        <v>31</v>
      </c>
      <c r="E342" t="s">
        <v>61</v>
      </c>
      <c r="F342" t="s">
        <v>103</v>
      </c>
    </row>
    <row r="343" spans="1:13" x14ac:dyDescent="0.3">
      <c r="A343" t="s">
        <v>240</v>
      </c>
      <c r="B343" t="s">
        <v>156</v>
      </c>
      <c r="C343">
        <v>350</v>
      </c>
      <c r="D343" t="s">
        <v>60</v>
      </c>
      <c r="E343" t="s">
        <v>65</v>
      </c>
      <c r="F343" t="s">
        <v>106</v>
      </c>
    </row>
    <row r="344" spans="1:13" x14ac:dyDescent="0.3">
      <c r="A344" t="s">
        <v>240</v>
      </c>
      <c r="B344" t="s">
        <v>159</v>
      </c>
      <c r="C344">
        <v>420</v>
      </c>
      <c r="D344" t="s">
        <v>31</v>
      </c>
      <c r="E344" t="s">
        <v>70</v>
      </c>
      <c r="F344" t="s">
        <v>230</v>
      </c>
    </row>
    <row r="345" spans="1:13" x14ac:dyDescent="0.3">
      <c r="A345" t="s">
        <v>240</v>
      </c>
      <c r="B345" t="s">
        <v>161</v>
      </c>
      <c r="C345">
        <v>500</v>
      </c>
      <c r="D345" t="s">
        <v>60</v>
      </c>
      <c r="E345" t="s">
        <v>61</v>
      </c>
      <c r="F345" t="s">
        <v>62</v>
      </c>
    </row>
    <row r="346" spans="1:13" x14ac:dyDescent="0.3">
      <c r="A346" t="s">
        <v>240</v>
      </c>
      <c r="B346" t="s">
        <v>163</v>
      </c>
      <c r="C346">
        <v>220</v>
      </c>
      <c r="D346" t="s">
        <v>31</v>
      </c>
      <c r="E346" t="s">
        <v>65</v>
      </c>
      <c r="F346" t="s">
        <v>80</v>
      </c>
    </row>
    <row r="347" spans="1:13" x14ac:dyDescent="0.3">
      <c r="A347" t="s">
        <v>240</v>
      </c>
      <c r="B347" t="s">
        <v>166</v>
      </c>
      <c r="C347">
        <v>180</v>
      </c>
      <c r="D347" t="s">
        <v>60</v>
      </c>
      <c r="E347" t="s">
        <v>70</v>
      </c>
      <c r="F347">
        <v>15</v>
      </c>
      <c r="G347" t="s">
        <v>115</v>
      </c>
      <c r="M347" s="1"/>
    </row>
    <row r="348" spans="1:13" x14ac:dyDescent="0.3">
      <c r="A348" t="s">
        <v>240</v>
      </c>
      <c r="B348" t="s">
        <v>168</v>
      </c>
      <c r="C348">
        <v>280</v>
      </c>
      <c r="D348" t="s">
        <v>31</v>
      </c>
      <c r="E348" t="s">
        <v>61</v>
      </c>
      <c r="F348" t="s">
        <v>103</v>
      </c>
    </row>
    <row r="349" spans="1:13" x14ac:dyDescent="0.3">
      <c r="A349" t="s">
        <v>240</v>
      </c>
      <c r="B349" t="s">
        <v>76</v>
      </c>
      <c r="C349">
        <v>500</v>
      </c>
      <c r="D349" t="s">
        <v>60</v>
      </c>
      <c r="E349" t="s">
        <v>65</v>
      </c>
      <c r="F349" t="s">
        <v>106</v>
      </c>
    </row>
    <row r="350" spans="1:13" x14ac:dyDescent="0.3">
      <c r="A350" t="s">
        <v>240</v>
      </c>
      <c r="B350" t="s">
        <v>172</v>
      </c>
      <c r="C350">
        <v>160</v>
      </c>
      <c r="D350" t="s">
        <v>31</v>
      </c>
      <c r="E350" t="s">
        <v>70</v>
      </c>
      <c r="F350" t="s">
        <v>123</v>
      </c>
    </row>
    <row r="351" spans="1:13" x14ac:dyDescent="0.3">
      <c r="A351" t="s">
        <v>240</v>
      </c>
      <c r="B351" t="s">
        <v>174</v>
      </c>
      <c r="C351">
        <v>380</v>
      </c>
      <c r="D351" t="s">
        <v>60</v>
      </c>
      <c r="E351" t="s">
        <v>65</v>
      </c>
      <c r="F351">
        <v>10</v>
      </c>
      <c r="G351" t="s">
        <v>126</v>
      </c>
      <c r="M351" s="1"/>
    </row>
    <row r="352" spans="1:13" x14ac:dyDescent="0.3">
      <c r="A352" t="s">
        <v>240</v>
      </c>
      <c r="B352" t="s">
        <v>176</v>
      </c>
      <c r="C352">
        <v>200</v>
      </c>
      <c r="D352" t="s">
        <v>31</v>
      </c>
      <c r="E352" t="s">
        <v>61</v>
      </c>
      <c r="F352" t="s">
        <v>80</v>
      </c>
    </row>
    <row r="353" spans="1:13" x14ac:dyDescent="0.3">
      <c r="A353" t="s">
        <v>240</v>
      </c>
      <c r="B353" t="s">
        <v>178</v>
      </c>
      <c r="C353">
        <v>140</v>
      </c>
      <c r="D353" t="s">
        <v>60</v>
      </c>
      <c r="E353" t="s">
        <v>65</v>
      </c>
      <c r="F353" t="s">
        <v>86</v>
      </c>
    </row>
    <row r="354" spans="1:13" x14ac:dyDescent="0.3">
      <c r="A354" t="s">
        <v>240</v>
      </c>
      <c r="B354" t="s">
        <v>52</v>
      </c>
      <c r="C354" t="s">
        <v>53</v>
      </c>
    </row>
    <row r="355" spans="1:13" x14ac:dyDescent="0.3">
      <c r="A355" t="s">
        <v>240</v>
      </c>
      <c r="B355" t="s">
        <v>55</v>
      </c>
      <c r="C355" t="s">
        <v>56</v>
      </c>
      <c r="D355">
        <v>30</v>
      </c>
      <c r="E355" t="s">
        <v>57</v>
      </c>
      <c r="M355" s="1"/>
    </row>
    <row r="356" spans="1:13" x14ac:dyDescent="0.3">
      <c r="A356" t="s">
        <v>240</v>
      </c>
      <c r="B356" t="s">
        <v>59</v>
      </c>
      <c r="C356" t="s">
        <v>60</v>
      </c>
      <c r="D356" t="s">
        <v>61</v>
      </c>
      <c r="E356" t="s">
        <v>62</v>
      </c>
    </row>
    <row r="357" spans="1:13" x14ac:dyDescent="0.3">
      <c r="A357" t="s">
        <v>240</v>
      </c>
      <c r="B357" t="s">
        <v>64</v>
      </c>
      <c r="C357" t="s">
        <v>31</v>
      </c>
      <c r="D357" t="s">
        <v>65</v>
      </c>
      <c r="E357" t="s">
        <v>66</v>
      </c>
    </row>
    <row r="358" spans="1:13" x14ac:dyDescent="0.3">
      <c r="A358" t="s">
        <v>240</v>
      </c>
      <c r="B358" t="s">
        <v>68</v>
      </c>
      <c r="C358" t="s">
        <v>69</v>
      </c>
      <c r="D358" t="s">
        <v>60</v>
      </c>
      <c r="E358" t="s">
        <v>70</v>
      </c>
      <c r="F358">
        <v>0</v>
      </c>
      <c r="G358" t="s">
        <v>71</v>
      </c>
    </row>
    <row r="359" spans="1:13" x14ac:dyDescent="0.3">
      <c r="A359" t="s">
        <v>240</v>
      </c>
      <c r="B359" t="s">
        <v>73</v>
      </c>
      <c r="C359" t="s">
        <v>31</v>
      </c>
      <c r="D359" t="s">
        <v>65</v>
      </c>
      <c r="E359">
        <v>0</v>
      </c>
      <c r="F359" t="s">
        <v>74</v>
      </c>
      <c r="M359" s="1"/>
    </row>
    <row r="360" spans="1:13" x14ac:dyDescent="0.3">
      <c r="A360" t="s">
        <v>240</v>
      </c>
      <c r="B360" t="s">
        <v>76</v>
      </c>
      <c r="C360">
        <v>500</v>
      </c>
      <c r="D360" t="s">
        <v>60</v>
      </c>
      <c r="E360" t="s">
        <v>61</v>
      </c>
      <c r="F360" t="s">
        <v>77</v>
      </c>
    </row>
    <row r="361" spans="1:13" x14ac:dyDescent="0.3">
      <c r="A361" t="s">
        <v>240</v>
      </c>
      <c r="B361" t="s">
        <v>79</v>
      </c>
      <c r="C361">
        <v>1</v>
      </c>
      <c r="D361">
        <v>160</v>
      </c>
      <c r="E361" t="s">
        <v>31</v>
      </c>
      <c r="F361" t="s">
        <v>70</v>
      </c>
      <c r="G361" t="s">
        <v>80</v>
      </c>
    </row>
    <row r="362" spans="1:13" x14ac:dyDescent="0.3">
      <c r="A362" t="s">
        <v>240</v>
      </c>
      <c r="B362" t="s">
        <v>82</v>
      </c>
      <c r="C362" t="s">
        <v>60</v>
      </c>
      <c r="D362" t="s">
        <v>65</v>
      </c>
      <c r="E362" t="s">
        <v>83</v>
      </c>
    </row>
    <row r="363" spans="1:13" x14ac:dyDescent="0.3">
      <c r="A363" t="s">
        <v>240</v>
      </c>
      <c r="B363" t="s">
        <v>85</v>
      </c>
      <c r="C363" t="s">
        <v>31</v>
      </c>
      <c r="D363" t="s">
        <v>61</v>
      </c>
      <c r="E363" t="s">
        <v>86</v>
      </c>
      <c r="M363" s="1"/>
    </row>
    <row r="364" spans="1:13" x14ac:dyDescent="0.3">
      <c r="A364" t="s">
        <v>240</v>
      </c>
      <c r="B364" t="s">
        <v>88</v>
      </c>
      <c r="C364" t="s">
        <v>60</v>
      </c>
      <c r="D364" t="s">
        <v>65</v>
      </c>
      <c r="E364">
        <v>0</v>
      </c>
      <c r="F364" t="s">
        <v>71</v>
      </c>
    </row>
    <row r="365" spans="1:13" x14ac:dyDescent="0.3">
      <c r="A365" t="s">
        <v>240</v>
      </c>
      <c r="B365" t="s">
        <v>90</v>
      </c>
      <c r="C365">
        <v>100</v>
      </c>
      <c r="D365" t="s">
        <v>31</v>
      </c>
      <c r="E365" t="s">
        <v>70</v>
      </c>
      <c r="F365">
        <v>10</v>
      </c>
      <c r="G365" t="s">
        <v>74</v>
      </c>
      <c r="M365" s="1"/>
    </row>
    <row r="366" spans="1:13" x14ac:dyDescent="0.3">
      <c r="A366" t="s">
        <v>240</v>
      </c>
      <c r="B366" t="s">
        <v>92</v>
      </c>
      <c r="C366">
        <v>320</v>
      </c>
      <c r="D366" t="s">
        <v>60</v>
      </c>
      <c r="E366" t="s">
        <v>65</v>
      </c>
      <c r="F366">
        <v>0</v>
      </c>
      <c r="G366" t="s">
        <v>93</v>
      </c>
    </row>
    <row r="367" spans="1:13" x14ac:dyDescent="0.3">
      <c r="A367" t="s">
        <v>240</v>
      </c>
      <c r="B367" t="s">
        <v>95</v>
      </c>
      <c r="C367">
        <v>350</v>
      </c>
      <c r="D367" t="s">
        <v>31</v>
      </c>
      <c r="E367" t="s">
        <v>61</v>
      </c>
      <c r="F367" t="s">
        <v>96</v>
      </c>
    </row>
    <row r="368" spans="1:13" x14ac:dyDescent="0.3">
      <c r="A368" t="s">
        <v>240</v>
      </c>
      <c r="B368" t="s">
        <v>98</v>
      </c>
      <c r="C368" t="s">
        <v>60</v>
      </c>
      <c r="D368" t="s">
        <v>70</v>
      </c>
      <c r="E368" t="s">
        <v>80</v>
      </c>
    </row>
    <row r="369" spans="1:13" x14ac:dyDescent="0.3">
      <c r="A369" t="s">
        <v>240</v>
      </c>
      <c r="B369" t="s">
        <v>100</v>
      </c>
      <c r="C369" t="s">
        <v>31</v>
      </c>
      <c r="D369" t="s">
        <v>65</v>
      </c>
      <c r="E369" t="s">
        <v>66</v>
      </c>
      <c r="M369" s="1"/>
    </row>
    <row r="370" spans="1:13" x14ac:dyDescent="0.3">
      <c r="A370" t="s">
        <v>240</v>
      </c>
      <c r="B370" t="s">
        <v>102</v>
      </c>
      <c r="C370">
        <v>150</v>
      </c>
      <c r="D370" t="s">
        <v>60</v>
      </c>
      <c r="E370" t="s">
        <v>61</v>
      </c>
      <c r="F370" t="s">
        <v>103</v>
      </c>
    </row>
    <row r="371" spans="1:13" x14ac:dyDescent="0.3">
      <c r="A371" t="s">
        <v>240</v>
      </c>
      <c r="B371" t="s">
        <v>105</v>
      </c>
      <c r="C371" t="s">
        <v>31</v>
      </c>
      <c r="D371" t="s">
        <v>65</v>
      </c>
      <c r="E371" t="s">
        <v>106</v>
      </c>
    </row>
    <row r="372" spans="1:13" x14ac:dyDescent="0.3">
      <c r="A372" t="s">
        <v>240</v>
      </c>
      <c r="B372" t="s">
        <v>108</v>
      </c>
      <c r="C372">
        <v>250</v>
      </c>
      <c r="D372" t="s">
        <v>60</v>
      </c>
      <c r="E372" t="s">
        <v>61</v>
      </c>
      <c r="F372">
        <v>30</v>
      </c>
      <c r="G372" t="s">
        <v>93</v>
      </c>
    </row>
    <row r="373" spans="1:13" x14ac:dyDescent="0.3">
      <c r="A373" t="s">
        <v>240</v>
      </c>
      <c r="B373" t="s">
        <v>110</v>
      </c>
      <c r="C373">
        <v>150</v>
      </c>
      <c r="D373" t="s">
        <v>31</v>
      </c>
      <c r="E373" t="s">
        <v>70</v>
      </c>
      <c r="F373" t="s">
        <v>62</v>
      </c>
    </row>
    <row r="374" spans="1:13" x14ac:dyDescent="0.3">
      <c r="A374" t="s">
        <v>240</v>
      </c>
      <c r="B374" t="s">
        <v>112</v>
      </c>
      <c r="C374">
        <v>300</v>
      </c>
      <c r="D374" t="s">
        <v>60</v>
      </c>
      <c r="E374" t="s">
        <v>65</v>
      </c>
      <c r="F374" t="s">
        <v>80</v>
      </c>
    </row>
    <row r="375" spans="1:13" x14ac:dyDescent="0.3">
      <c r="A375" t="s">
        <v>240</v>
      </c>
      <c r="B375" t="s">
        <v>114</v>
      </c>
      <c r="C375">
        <v>3</v>
      </c>
      <c r="D375">
        <v>180</v>
      </c>
      <c r="E375" t="s">
        <v>31</v>
      </c>
      <c r="F375" t="s">
        <v>61</v>
      </c>
      <c r="G375">
        <v>10</v>
      </c>
      <c r="H375" t="s">
        <v>115</v>
      </c>
      <c r="M375" s="1"/>
    </row>
    <row r="376" spans="1:13" x14ac:dyDescent="0.3">
      <c r="A376" t="s">
        <v>240</v>
      </c>
      <c r="B376" t="s">
        <v>117</v>
      </c>
      <c r="C376">
        <v>90</v>
      </c>
      <c r="D376" t="s">
        <v>60</v>
      </c>
      <c r="E376" t="s">
        <v>65</v>
      </c>
      <c r="F376">
        <v>0</v>
      </c>
      <c r="G376" t="s">
        <v>71</v>
      </c>
    </row>
    <row r="377" spans="1:13" x14ac:dyDescent="0.3">
      <c r="A377" t="s">
        <v>240</v>
      </c>
      <c r="B377" t="s">
        <v>119</v>
      </c>
      <c r="C377">
        <v>320</v>
      </c>
      <c r="D377" t="s">
        <v>31</v>
      </c>
      <c r="E377" t="s">
        <v>70</v>
      </c>
      <c r="F377" t="s">
        <v>120</v>
      </c>
    </row>
    <row r="378" spans="1:13" x14ac:dyDescent="0.3">
      <c r="A378" t="s">
        <v>240</v>
      </c>
      <c r="B378" t="s">
        <v>122</v>
      </c>
      <c r="C378">
        <v>120</v>
      </c>
      <c r="D378" t="s">
        <v>60</v>
      </c>
      <c r="E378" t="s">
        <v>61</v>
      </c>
      <c r="F378" t="s">
        <v>123</v>
      </c>
    </row>
    <row r="379" spans="1:13" x14ac:dyDescent="0.3">
      <c r="A379" t="s">
        <v>240</v>
      </c>
      <c r="B379" t="s">
        <v>125</v>
      </c>
      <c r="C379">
        <v>1</v>
      </c>
      <c r="D379">
        <v>450</v>
      </c>
      <c r="E379" t="s">
        <v>31</v>
      </c>
      <c r="F379" t="s">
        <v>65</v>
      </c>
      <c r="G379">
        <v>15</v>
      </c>
      <c r="H379" t="s">
        <v>126</v>
      </c>
      <c r="M379" s="1"/>
    </row>
    <row r="380" spans="1:13" x14ac:dyDescent="0.3">
      <c r="A380" t="s">
        <v>240</v>
      </c>
      <c r="B380" t="s">
        <v>136</v>
      </c>
      <c r="C380">
        <v>320</v>
      </c>
      <c r="D380" t="s">
        <v>60</v>
      </c>
      <c r="E380" t="s">
        <v>61</v>
      </c>
      <c r="F380" t="s">
        <v>123</v>
      </c>
    </row>
    <row r="381" spans="1:13" x14ac:dyDescent="0.3">
      <c r="A381" t="s">
        <v>240</v>
      </c>
      <c r="B381" t="s">
        <v>138</v>
      </c>
      <c r="C381">
        <v>200</v>
      </c>
      <c r="D381" t="s">
        <v>31</v>
      </c>
      <c r="E381" t="s">
        <v>61</v>
      </c>
      <c r="F381" t="s">
        <v>62</v>
      </c>
    </row>
    <row r="382" spans="1:13" x14ac:dyDescent="0.3">
      <c r="A382" t="s">
        <v>240</v>
      </c>
      <c r="B382" t="s">
        <v>140</v>
      </c>
      <c r="C382">
        <v>250</v>
      </c>
      <c r="D382" t="s">
        <v>60</v>
      </c>
      <c r="E382" t="s">
        <v>65</v>
      </c>
      <c r="F382" t="s">
        <v>141</v>
      </c>
    </row>
    <row r="383" spans="1:13" x14ac:dyDescent="0.3">
      <c r="A383" t="s">
        <v>240</v>
      </c>
      <c r="B383" t="s">
        <v>143</v>
      </c>
      <c r="C383">
        <v>180</v>
      </c>
      <c r="D383" t="s">
        <v>31</v>
      </c>
      <c r="E383" t="s">
        <v>70</v>
      </c>
      <c r="F383" t="s">
        <v>86</v>
      </c>
    </row>
    <row r="384" spans="1:13" x14ac:dyDescent="0.3">
      <c r="A384" t="s">
        <v>240</v>
      </c>
      <c r="B384" t="s">
        <v>145</v>
      </c>
      <c r="C384">
        <v>200</v>
      </c>
      <c r="D384" t="s">
        <v>60</v>
      </c>
      <c r="E384" t="s">
        <v>65</v>
      </c>
      <c r="F384" t="s">
        <v>103</v>
      </c>
    </row>
    <row r="385" spans="1:13" x14ac:dyDescent="0.3">
      <c r="A385" t="s">
        <v>240</v>
      </c>
      <c r="B385" t="s">
        <v>76</v>
      </c>
      <c r="C385">
        <v>500</v>
      </c>
      <c r="D385" t="s">
        <v>31</v>
      </c>
      <c r="E385" t="s">
        <v>61</v>
      </c>
      <c r="F385">
        <v>15</v>
      </c>
      <c r="G385" t="s">
        <v>74</v>
      </c>
      <c r="M385" s="1"/>
    </row>
    <row r="386" spans="1:13" x14ac:dyDescent="0.3">
      <c r="A386" t="s">
        <v>240</v>
      </c>
      <c r="B386" t="s">
        <v>148</v>
      </c>
      <c r="C386">
        <v>180</v>
      </c>
      <c r="D386" t="s">
        <v>60</v>
      </c>
      <c r="E386" t="s">
        <v>65</v>
      </c>
      <c r="F386" t="s">
        <v>123</v>
      </c>
    </row>
    <row r="387" spans="1:13" x14ac:dyDescent="0.3">
      <c r="A387" t="s">
        <v>240</v>
      </c>
      <c r="B387" t="s">
        <v>150</v>
      </c>
      <c r="C387">
        <v>450</v>
      </c>
      <c r="D387" t="s">
        <v>31</v>
      </c>
      <c r="E387" t="s">
        <v>70</v>
      </c>
      <c r="F387" t="s">
        <v>151</v>
      </c>
    </row>
    <row r="388" spans="1:13" x14ac:dyDescent="0.3">
      <c r="A388" t="s">
        <v>240</v>
      </c>
      <c r="B388" t="s">
        <v>95</v>
      </c>
      <c r="C388">
        <v>300</v>
      </c>
      <c r="D388" t="s">
        <v>60</v>
      </c>
      <c r="E388" t="s">
        <v>61</v>
      </c>
      <c r="F388" t="s">
        <v>80</v>
      </c>
    </row>
    <row r="389" spans="1:13" x14ac:dyDescent="0.3">
      <c r="A389" t="s">
        <v>240</v>
      </c>
      <c r="B389" t="s">
        <v>154</v>
      </c>
      <c r="C389">
        <v>260</v>
      </c>
      <c r="D389" t="s">
        <v>31</v>
      </c>
      <c r="E389" t="s">
        <v>65</v>
      </c>
      <c r="F389" t="s">
        <v>86</v>
      </c>
    </row>
    <row r="390" spans="1:13" x14ac:dyDescent="0.3">
      <c r="A390" t="s">
        <v>240</v>
      </c>
      <c r="B390" t="s">
        <v>156</v>
      </c>
      <c r="C390">
        <v>350</v>
      </c>
      <c r="D390" t="s">
        <v>60</v>
      </c>
      <c r="E390" t="s">
        <v>61</v>
      </c>
      <c r="F390" t="s">
        <v>157</v>
      </c>
    </row>
    <row r="391" spans="1:13" x14ac:dyDescent="0.3">
      <c r="A391" t="s">
        <v>240</v>
      </c>
      <c r="B391" t="s">
        <v>159</v>
      </c>
      <c r="C391">
        <v>420</v>
      </c>
      <c r="D391" t="s">
        <v>31</v>
      </c>
      <c r="E391" t="s">
        <v>70</v>
      </c>
      <c r="F391">
        <v>0</v>
      </c>
      <c r="G391" t="s">
        <v>74</v>
      </c>
      <c r="M391" s="1"/>
    </row>
    <row r="392" spans="1:13" x14ac:dyDescent="0.3">
      <c r="A392" t="s">
        <v>240</v>
      </c>
      <c r="B392" t="s">
        <v>161</v>
      </c>
      <c r="C392">
        <v>500</v>
      </c>
      <c r="D392" t="s">
        <v>60</v>
      </c>
      <c r="E392" t="s">
        <v>65</v>
      </c>
      <c r="F392" t="s">
        <v>123</v>
      </c>
    </row>
    <row r="393" spans="1:13" x14ac:dyDescent="0.3">
      <c r="A393" t="s">
        <v>240</v>
      </c>
      <c r="B393" t="s">
        <v>163</v>
      </c>
      <c r="C393">
        <v>220</v>
      </c>
      <c r="D393" t="s">
        <v>31</v>
      </c>
      <c r="E393" t="s">
        <v>65</v>
      </c>
      <c r="F393" t="s">
        <v>164</v>
      </c>
    </row>
    <row r="394" spans="1:13" x14ac:dyDescent="0.3">
      <c r="A394" t="s">
        <v>240</v>
      </c>
      <c r="B394" t="s">
        <v>166</v>
      </c>
      <c r="C394">
        <v>180</v>
      </c>
      <c r="D394" t="s">
        <v>60</v>
      </c>
      <c r="E394" t="s">
        <v>70</v>
      </c>
      <c r="F394" t="s">
        <v>80</v>
      </c>
    </row>
    <row r="395" spans="1:13" x14ac:dyDescent="0.3">
      <c r="A395" t="s">
        <v>240</v>
      </c>
      <c r="B395" t="s">
        <v>168</v>
      </c>
      <c r="C395">
        <v>280</v>
      </c>
      <c r="D395" t="s">
        <v>31</v>
      </c>
      <c r="E395" t="s">
        <v>61</v>
      </c>
      <c r="F395">
        <v>0</v>
      </c>
      <c r="G395" t="s">
        <v>115</v>
      </c>
      <c r="M395" s="1"/>
    </row>
    <row r="396" spans="1:13" x14ac:dyDescent="0.3">
      <c r="A396" t="s">
        <v>240</v>
      </c>
      <c r="B396" t="s">
        <v>76</v>
      </c>
      <c r="C396">
        <v>500</v>
      </c>
      <c r="D396" t="s">
        <v>60</v>
      </c>
      <c r="E396" t="s">
        <v>61</v>
      </c>
      <c r="F396" t="s">
        <v>170</v>
      </c>
    </row>
    <row r="397" spans="1:13" x14ac:dyDescent="0.3">
      <c r="A397" t="s">
        <v>240</v>
      </c>
      <c r="B397" t="s">
        <v>172</v>
      </c>
      <c r="C397">
        <v>160</v>
      </c>
      <c r="D397" t="s">
        <v>31</v>
      </c>
      <c r="E397" t="s">
        <v>70</v>
      </c>
      <c r="F397" t="s">
        <v>106</v>
      </c>
    </row>
    <row r="398" spans="1:13" x14ac:dyDescent="0.3">
      <c r="A398" t="s">
        <v>240</v>
      </c>
      <c r="B398" t="s">
        <v>174</v>
      </c>
      <c r="C398">
        <v>380</v>
      </c>
      <c r="D398" t="s">
        <v>60</v>
      </c>
      <c r="E398" t="s">
        <v>65</v>
      </c>
      <c r="F398" t="s">
        <v>123</v>
      </c>
    </row>
    <row r="399" spans="1:13" x14ac:dyDescent="0.3">
      <c r="A399" t="s">
        <v>240</v>
      </c>
      <c r="B399" t="s">
        <v>176</v>
      </c>
      <c r="C399">
        <v>200</v>
      </c>
      <c r="D399" t="s">
        <v>31</v>
      </c>
      <c r="E399" t="s">
        <v>65</v>
      </c>
      <c r="F399">
        <v>10</v>
      </c>
      <c r="G399" t="s">
        <v>126</v>
      </c>
      <c r="M399" s="1"/>
    </row>
    <row r="400" spans="1:13" x14ac:dyDescent="0.3">
      <c r="A400" t="s">
        <v>240</v>
      </c>
      <c r="B400" t="s">
        <v>178</v>
      </c>
      <c r="C400">
        <v>140</v>
      </c>
      <c r="D400" t="s">
        <v>60</v>
      </c>
      <c r="E400" t="s">
        <v>61</v>
      </c>
      <c r="F400" t="s">
        <v>80</v>
      </c>
    </row>
    <row r="401" spans="1:13" x14ac:dyDescent="0.3">
      <c r="A401" t="s">
        <v>240</v>
      </c>
      <c r="B401" t="s">
        <v>90</v>
      </c>
      <c r="C401">
        <v>100</v>
      </c>
      <c r="D401" t="s">
        <v>31</v>
      </c>
      <c r="E401" t="s">
        <v>65</v>
      </c>
      <c r="F401" t="s">
        <v>86</v>
      </c>
    </row>
    <row r="402" spans="1:13" x14ac:dyDescent="0.3">
      <c r="A402" t="s">
        <v>240</v>
      </c>
      <c r="B402" t="s">
        <v>73</v>
      </c>
      <c r="C402" t="s">
        <v>31</v>
      </c>
      <c r="D402" t="s">
        <v>65</v>
      </c>
      <c r="E402" t="s">
        <v>151</v>
      </c>
    </row>
    <row r="403" spans="1:13" x14ac:dyDescent="0.3">
      <c r="A403" t="s">
        <v>240</v>
      </c>
      <c r="B403" t="s">
        <v>161</v>
      </c>
      <c r="C403">
        <v>500</v>
      </c>
      <c r="D403" t="s">
        <v>60</v>
      </c>
      <c r="E403" t="s">
        <v>61</v>
      </c>
      <c r="F403">
        <v>0</v>
      </c>
      <c r="G403" t="s">
        <v>115</v>
      </c>
    </row>
    <row r="404" spans="1:13" x14ac:dyDescent="0.3">
      <c r="A404" t="s">
        <v>240</v>
      </c>
      <c r="B404" t="s">
        <v>163</v>
      </c>
      <c r="C404">
        <v>220</v>
      </c>
      <c r="D404" t="s">
        <v>31</v>
      </c>
      <c r="E404" t="s">
        <v>70</v>
      </c>
      <c r="F404">
        <v>0</v>
      </c>
      <c r="G404" t="s">
        <v>71</v>
      </c>
    </row>
    <row r="405" spans="1:13" x14ac:dyDescent="0.3">
      <c r="A405" t="s">
        <v>240</v>
      </c>
      <c r="B405" t="s">
        <v>166</v>
      </c>
      <c r="C405">
        <v>180</v>
      </c>
      <c r="D405" t="s">
        <v>60</v>
      </c>
      <c r="E405" t="s">
        <v>65</v>
      </c>
      <c r="F405">
        <v>0</v>
      </c>
      <c r="G405" t="s">
        <v>74</v>
      </c>
    </row>
    <row r="406" spans="1:13" x14ac:dyDescent="0.3">
      <c r="A406" t="s">
        <v>240</v>
      </c>
      <c r="B406" t="s">
        <v>168</v>
      </c>
      <c r="C406">
        <v>280</v>
      </c>
      <c r="D406" t="s">
        <v>31</v>
      </c>
      <c r="E406" t="s">
        <v>61</v>
      </c>
      <c r="F406" t="s">
        <v>77</v>
      </c>
    </row>
    <row r="407" spans="1:13" x14ac:dyDescent="0.3">
      <c r="A407" t="s">
        <v>240</v>
      </c>
      <c r="B407" t="s">
        <v>76</v>
      </c>
      <c r="C407">
        <v>500</v>
      </c>
      <c r="D407" t="s">
        <v>60</v>
      </c>
      <c r="E407" t="s">
        <v>65</v>
      </c>
      <c r="F407" t="s">
        <v>80</v>
      </c>
    </row>
    <row r="408" spans="1:13" x14ac:dyDescent="0.3">
      <c r="A408" t="s">
        <v>240</v>
      </c>
      <c r="B408" t="s">
        <v>172</v>
      </c>
      <c r="C408">
        <v>160</v>
      </c>
      <c r="D408" t="s">
        <v>31</v>
      </c>
      <c r="E408" t="s">
        <v>70</v>
      </c>
      <c r="F408">
        <v>15</v>
      </c>
      <c r="G408" t="s">
        <v>126</v>
      </c>
    </row>
    <row r="409" spans="1:13" x14ac:dyDescent="0.3">
      <c r="A409" t="s">
        <v>240</v>
      </c>
      <c r="B409" t="s">
        <v>188</v>
      </c>
      <c r="C409" t="s">
        <v>60</v>
      </c>
      <c r="D409" t="s">
        <v>61</v>
      </c>
      <c r="E409" t="s">
        <v>86</v>
      </c>
      <c r="M409" s="1"/>
    </row>
    <row r="410" spans="1:13" x14ac:dyDescent="0.3">
      <c r="A410" t="s">
        <v>240</v>
      </c>
      <c r="B410" t="s">
        <v>190</v>
      </c>
      <c r="C410" t="s">
        <v>31</v>
      </c>
      <c r="D410" t="s">
        <v>65</v>
      </c>
      <c r="E410">
        <v>0</v>
      </c>
      <c r="F410" t="s">
        <v>71</v>
      </c>
    </row>
    <row r="411" spans="1:13" x14ac:dyDescent="0.3">
      <c r="A411" t="s">
        <v>240</v>
      </c>
      <c r="B411" t="s">
        <v>178</v>
      </c>
      <c r="C411">
        <v>140</v>
      </c>
      <c r="D411" t="s">
        <v>60</v>
      </c>
      <c r="E411" t="s">
        <v>65</v>
      </c>
      <c r="F411">
        <v>20</v>
      </c>
      <c r="G411" t="s">
        <v>74</v>
      </c>
      <c r="M411" s="1"/>
    </row>
    <row r="412" spans="1:13" x14ac:dyDescent="0.3">
      <c r="A412" t="s">
        <v>240</v>
      </c>
      <c r="B412" t="s">
        <v>90</v>
      </c>
      <c r="C412">
        <v>100</v>
      </c>
      <c r="D412" t="s">
        <v>31</v>
      </c>
      <c r="E412" t="s">
        <v>70</v>
      </c>
      <c r="F412">
        <v>0</v>
      </c>
      <c r="G412" t="s">
        <v>93</v>
      </c>
    </row>
    <row r="413" spans="1:13" x14ac:dyDescent="0.3">
      <c r="A413" t="s">
        <v>240</v>
      </c>
      <c r="B413" t="s">
        <v>92</v>
      </c>
      <c r="C413">
        <v>320</v>
      </c>
      <c r="D413" t="s">
        <v>60</v>
      </c>
      <c r="E413" t="s">
        <v>61</v>
      </c>
      <c r="F413" t="s">
        <v>62</v>
      </c>
    </row>
    <row r="414" spans="1:13" x14ac:dyDescent="0.3">
      <c r="A414" t="s">
        <v>240</v>
      </c>
      <c r="B414" t="s">
        <v>95</v>
      </c>
      <c r="C414">
        <v>350</v>
      </c>
      <c r="D414" t="s">
        <v>31</v>
      </c>
      <c r="E414" t="s">
        <v>65</v>
      </c>
      <c r="F414">
        <v>25</v>
      </c>
      <c r="G414" t="s">
        <v>195</v>
      </c>
    </row>
    <row r="415" spans="1:13" x14ac:dyDescent="0.3">
      <c r="A415" t="s">
        <v>240</v>
      </c>
      <c r="B415" t="s">
        <v>98</v>
      </c>
      <c r="C415" t="s">
        <v>60</v>
      </c>
      <c r="D415" t="s">
        <v>65</v>
      </c>
      <c r="E415" t="s">
        <v>86</v>
      </c>
      <c r="M415" s="1"/>
    </row>
    <row r="416" spans="1:13" x14ac:dyDescent="0.3">
      <c r="A416" t="s">
        <v>240</v>
      </c>
      <c r="B416" t="s">
        <v>198</v>
      </c>
      <c r="C416">
        <v>300</v>
      </c>
      <c r="D416" t="s">
        <v>31</v>
      </c>
      <c r="E416" t="s">
        <v>61</v>
      </c>
      <c r="F416" t="s">
        <v>103</v>
      </c>
    </row>
    <row r="417" spans="1:13" x14ac:dyDescent="0.3">
      <c r="A417" t="s">
        <v>240</v>
      </c>
      <c r="B417" t="s">
        <v>102</v>
      </c>
      <c r="C417">
        <v>150</v>
      </c>
      <c r="D417" t="s">
        <v>60</v>
      </c>
      <c r="E417" t="s">
        <v>65</v>
      </c>
      <c r="F417">
        <v>10</v>
      </c>
      <c r="G417" t="s">
        <v>74</v>
      </c>
    </row>
    <row r="418" spans="1:13" x14ac:dyDescent="0.3">
      <c r="A418" t="s">
        <v>240</v>
      </c>
      <c r="B418" t="s">
        <v>201</v>
      </c>
      <c r="C418">
        <v>400</v>
      </c>
      <c r="D418" t="s">
        <v>31</v>
      </c>
      <c r="E418" t="s">
        <v>70</v>
      </c>
      <c r="F418">
        <v>0</v>
      </c>
      <c r="G418" t="s">
        <v>93</v>
      </c>
    </row>
    <row r="419" spans="1:13" x14ac:dyDescent="0.3">
      <c r="A419" t="s">
        <v>240</v>
      </c>
      <c r="B419" t="s">
        <v>108</v>
      </c>
      <c r="C419">
        <v>250</v>
      </c>
      <c r="D419" t="s">
        <v>60</v>
      </c>
      <c r="E419" t="s">
        <v>61</v>
      </c>
      <c r="F419" t="s">
        <v>62</v>
      </c>
    </row>
    <row r="420" spans="1:13" x14ac:dyDescent="0.3">
      <c r="A420" t="s">
        <v>240</v>
      </c>
      <c r="B420" t="s">
        <v>110</v>
      </c>
      <c r="C420">
        <v>150</v>
      </c>
      <c r="D420" t="s">
        <v>31</v>
      </c>
      <c r="E420" t="s">
        <v>65</v>
      </c>
      <c r="F420" t="s">
        <v>204</v>
      </c>
    </row>
    <row r="421" spans="1:13" x14ac:dyDescent="0.3">
      <c r="A421" t="s">
        <v>240</v>
      </c>
      <c r="B421" t="s">
        <v>112</v>
      </c>
      <c r="C421">
        <v>300</v>
      </c>
      <c r="D421" t="s">
        <v>60</v>
      </c>
      <c r="E421" t="s">
        <v>65</v>
      </c>
      <c r="F421">
        <v>0</v>
      </c>
      <c r="G421" t="s">
        <v>115</v>
      </c>
      <c r="M421" s="1"/>
    </row>
    <row r="422" spans="1:13" x14ac:dyDescent="0.3">
      <c r="A422" t="s">
        <v>240</v>
      </c>
      <c r="B422" t="s">
        <v>207</v>
      </c>
      <c r="C422">
        <v>180</v>
      </c>
      <c r="D422" t="s">
        <v>31</v>
      </c>
      <c r="E422" t="s">
        <v>61</v>
      </c>
      <c r="F422" t="s">
        <v>103</v>
      </c>
    </row>
    <row r="423" spans="1:13" x14ac:dyDescent="0.3">
      <c r="A423" t="s">
        <v>240</v>
      </c>
      <c r="B423" t="s">
        <v>117</v>
      </c>
      <c r="C423">
        <v>90</v>
      </c>
      <c r="D423" t="s">
        <v>60</v>
      </c>
      <c r="E423" t="s">
        <v>65</v>
      </c>
      <c r="F423" t="s">
        <v>120</v>
      </c>
    </row>
    <row r="424" spans="1:13" x14ac:dyDescent="0.3">
      <c r="A424" t="s">
        <v>240</v>
      </c>
      <c r="B424" t="s">
        <v>119</v>
      </c>
      <c r="C424">
        <v>320</v>
      </c>
      <c r="D424" t="s">
        <v>31</v>
      </c>
      <c r="E424" t="s">
        <v>70</v>
      </c>
      <c r="F424">
        <v>0</v>
      </c>
      <c r="G424" t="s">
        <v>93</v>
      </c>
    </row>
    <row r="425" spans="1:13" x14ac:dyDescent="0.3">
      <c r="A425" t="s">
        <v>240</v>
      </c>
      <c r="B425" t="s">
        <v>122</v>
      </c>
      <c r="C425">
        <v>120</v>
      </c>
      <c r="D425" t="s">
        <v>60</v>
      </c>
      <c r="E425" t="s">
        <v>65</v>
      </c>
      <c r="F425">
        <v>0</v>
      </c>
      <c r="G425" t="s">
        <v>126</v>
      </c>
      <c r="M425" s="1"/>
    </row>
    <row r="426" spans="1:13" x14ac:dyDescent="0.3">
      <c r="A426" t="s">
        <v>240</v>
      </c>
      <c r="B426" t="s">
        <v>212</v>
      </c>
      <c r="C426">
        <v>450</v>
      </c>
      <c r="D426" t="s">
        <v>31</v>
      </c>
      <c r="E426" t="s">
        <v>61</v>
      </c>
      <c r="F426">
        <v>10</v>
      </c>
      <c r="G426" t="s">
        <v>195</v>
      </c>
    </row>
    <row r="427" spans="1:13" x14ac:dyDescent="0.3">
      <c r="A427" t="s">
        <v>240</v>
      </c>
      <c r="B427" t="s">
        <v>128</v>
      </c>
      <c r="C427">
        <v>260</v>
      </c>
      <c r="D427" t="s">
        <v>60</v>
      </c>
      <c r="E427" t="s">
        <v>61</v>
      </c>
      <c r="F427" t="s">
        <v>86</v>
      </c>
    </row>
    <row r="428" spans="1:13" x14ac:dyDescent="0.3">
      <c r="A428" t="s">
        <v>240</v>
      </c>
      <c r="B428" t="s">
        <v>130</v>
      </c>
      <c r="C428">
        <v>300</v>
      </c>
      <c r="D428" t="s">
        <v>31</v>
      </c>
      <c r="E428" t="s">
        <v>70</v>
      </c>
      <c r="F428" t="s">
        <v>103</v>
      </c>
    </row>
    <row r="429" spans="1:13" x14ac:dyDescent="0.3">
      <c r="A429" t="s">
        <v>240</v>
      </c>
      <c r="B429" t="s">
        <v>132</v>
      </c>
      <c r="C429">
        <v>200</v>
      </c>
      <c r="D429" t="s">
        <v>60</v>
      </c>
      <c r="E429" t="s">
        <v>65</v>
      </c>
      <c r="F429">
        <v>25</v>
      </c>
      <c r="G429" t="s">
        <v>74</v>
      </c>
      <c r="M429" s="1"/>
    </row>
    <row r="430" spans="1:13" x14ac:dyDescent="0.3">
      <c r="A430" t="s">
        <v>240</v>
      </c>
      <c r="B430" t="s">
        <v>134</v>
      </c>
      <c r="C430">
        <v>240</v>
      </c>
      <c r="D430" t="s">
        <v>31</v>
      </c>
      <c r="E430" t="s">
        <v>65</v>
      </c>
      <c r="F430">
        <v>0</v>
      </c>
      <c r="G430" t="s">
        <v>93</v>
      </c>
    </row>
    <row r="431" spans="1:13" x14ac:dyDescent="0.3">
      <c r="A431" t="s">
        <v>240</v>
      </c>
      <c r="B431" t="s">
        <v>136</v>
      </c>
      <c r="C431">
        <v>320</v>
      </c>
      <c r="D431" t="s">
        <v>60</v>
      </c>
      <c r="E431" t="s">
        <v>61</v>
      </c>
      <c r="F431" t="s">
        <v>62</v>
      </c>
    </row>
    <row r="432" spans="1:13" x14ac:dyDescent="0.3">
      <c r="A432" t="s">
        <v>240</v>
      </c>
      <c r="B432" t="s">
        <v>138</v>
      </c>
      <c r="C432">
        <v>200</v>
      </c>
      <c r="D432" t="s">
        <v>31</v>
      </c>
      <c r="E432" t="s">
        <v>65</v>
      </c>
      <c r="F432" t="s">
        <v>80</v>
      </c>
    </row>
    <row r="433" spans="1:13" x14ac:dyDescent="0.3">
      <c r="A433" t="s">
        <v>240</v>
      </c>
      <c r="B433" t="s">
        <v>140</v>
      </c>
      <c r="C433">
        <v>250</v>
      </c>
      <c r="D433" t="s">
        <v>60</v>
      </c>
      <c r="E433" t="s">
        <v>70</v>
      </c>
      <c r="F433" t="s">
        <v>220</v>
      </c>
    </row>
    <row r="434" spans="1:13" x14ac:dyDescent="0.3">
      <c r="A434" t="s">
        <v>240</v>
      </c>
      <c r="B434" t="s">
        <v>143</v>
      </c>
      <c r="C434">
        <v>180</v>
      </c>
      <c r="D434" t="s">
        <v>31</v>
      </c>
      <c r="E434" t="s">
        <v>65</v>
      </c>
      <c r="F434" t="s">
        <v>103</v>
      </c>
    </row>
    <row r="435" spans="1:13" x14ac:dyDescent="0.3">
      <c r="A435" t="s">
        <v>240</v>
      </c>
      <c r="B435" t="s">
        <v>145</v>
      </c>
      <c r="C435">
        <v>200</v>
      </c>
      <c r="D435" t="s">
        <v>60</v>
      </c>
      <c r="E435" t="s">
        <v>61</v>
      </c>
      <c r="F435">
        <v>0</v>
      </c>
      <c r="G435" t="s">
        <v>74</v>
      </c>
      <c r="M435" s="1"/>
    </row>
    <row r="436" spans="1:13" x14ac:dyDescent="0.3">
      <c r="A436" t="s">
        <v>240</v>
      </c>
      <c r="B436" t="s">
        <v>76</v>
      </c>
      <c r="C436">
        <v>500</v>
      </c>
      <c r="D436" t="s">
        <v>31</v>
      </c>
      <c r="E436" t="s">
        <v>65</v>
      </c>
      <c r="F436">
        <v>30</v>
      </c>
      <c r="G436" t="s">
        <v>93</v>
      </c>
    </row>
    <row r="437" spans="1:13" x14ac:dyDescent="0.3">
      <c r="A437" t="s">
        <v>240</v>
      </c>
      <c r="B437" t="s">
        <v>148</v>
      </c>
      <c r="C437">
        <v>180</v>
      </c>
      <c r="D437" t="s">
        <v>60</v>
      </c>
      <c r="E437" t="s">
        <v>65</v>
      </c>
      <c r="F437" t="s">
        <v>62</v>
      </c>
    </row>
    <row r="438" spans="1:13" x14ac:dyDescent="0.3">
      <c r="A438" t="s">
        <v>240</v>
      </c>
      <c r="B438" t="s">
        <v>150</v>
      </c>
      <c r="C438">
        <v>450</v>
      </c>
      <c r="D438" t="s">
        <v>31</v>
      </c>
      <c r="E438" t="s">
        <v>70</v>
      </c>
      <c r="F438" t="s">
        <v>80</v>
      </c>
    </row>
    <row r="439" spans="1:13" x14ac:dyDescent="0.3">
      <c r="A439" t="s">
        <v>240</v>
      </c>
      <c r="B439" t="s">
        <v>95</v>
      </c>
      <c r="C439">
        <v>300</v>
      </c>
      <c r="D439" t="s">
        <v>60</v>
      </c>
      <c r="E439" t="s">
        <v>61</v>
      </c>
      <c r="F439">
        <v>10</v>
      </c>
      <c r="G439" t="s">
        <v>115</v>
      </c>
      <c r="M439" s="1"/>
    </row>
    <row r="440" spans="1:13" x14ac:dyDescent="0.3">
      <c r="A440" t="s">
        <v>240</v>
      </c>
      <c r="B440" t="s">
        <v>154</v>
      </c>
      <c r="C440">
        <v>260</v>
      </c>
      <c r="D440" t="s">
        <v>31</v>
      </c>
      <c r="E440" t="s">
        <v>61</v>
      </c>
      <c r="F440" t="s">
        <v>103</v>
      </c>
    </row>
    <row r="441" spans="1:13" x14ac:dyDescent="0.3">
      <c r="A441" t="s">
        <v>240</v>
      </c>
      <c r="B441" t="s">
        <v>156</v>
      </c>
      <c r="C441">
        <v>350</v>
      </c>
      <c r="D441" t="s">
        <v>60</v>
      </c>
      <c r="E441" t="s">
        <v>65</v>
      </c>
      <c r="F441" t="s">
        <v>106</v>
      </c>
    </row>
    <row r="442" spans="1:13" x14ac:dyDescent="0.3">
      <c r="A442" t="s">
        <v>240</v>
      </c>
      <c r="B442" t="s">
        <v>159</v>
      </c>
      <c r="C442">
        <v>420</v>
      </c>
      <c r="D442" t="s">
        <v>31</v>
      </c>
      <c r="E442" t="s">
        <v>70</v>
      </c>
      <c r="F442" t="s">
        <v>230</v>
      </c>
    </row>
    <row r="443" spans="1:13" x14ac:dyDescent="0.3">
      <c r="A443" t="s">
        <v>240</v>
      </c>
      <c r="B443" t="s">
        <v>161</v>
      </c>
      <c r="C443">
        <v>500</v>
      </c>
      <c r="D443" t="s">
        <v>60</v>
      </c>
      <c r="E443" t="s">
        <v>61</v>
      </c>
      <c r="F443" t="s">
        <v>62</v>
      </c>
    </row>
    <row r="444" spans="1:13" x14ac:dyDescent="0.3">
      <c r="A444" t="s">
        <v>240</v>
      </c>
      <c r="B444" t="s">
        <v>163</v>
      </c>
      <c r="C444">
        <v>220</v>
      </c>
      <c r="D444" t="s">
        <v>31</v>
      </c>
      <c r="E444" t="s">
        <v>65</v>
      </c>
      <c r="F444" t="s">
        <v>80</v>
      </c>
    </row>
    <row r="445" spans="1:13" x14ac:dyDescent="0.3">
      <c r="A445" t="s">
        <v>240</v>
      </c>
      <c r="B445" t="s">
        <v>166</v>
      </c>
      <c r="C445">
        <v>180</v>
      </c>
      <c r="D445" t="s">
        <v>60</v>
      </c>
      <c r="E445" t="s">
        <v>70</v>
      </c>
      <c r="F445">
        <v>15</v>
      </c>
      <c r="G445" t="s">
        <v>115</v>
      </c>
      <c r="M445" s="1"/>
    </row>
    <row r="446" spans="1:13" x14ac:dyDescent="0.3">
      <c r="A446" t="s">
        <v>240</v>
      </c>
      <c r="B446" t="s">
        <v>168</v>
      </c>
      <c r="C446">
        <v>280</v>
      </c>
      <c r="D446" t="s">
        <v>31</v>
      </c>
      <c r="E446" t="s">
        <v>61</v>
      </c>
      <c r="F446" t="s">
        <v>103</v>
      </c>
    </row>
    <row r="447" spans="1:13" x14ac:dyDescent="0.3">
      <c r="A447" t="s">
        <v>240</v>
      </c>
      <c r="B447" t="s">
        <v>76</v>
      </c>
      <c r="C447">
        <v>500</v>
      </c>
      <c r="D447" t="s">
        <v>60</v>
      </c>
      <c r="E447" t="s">
        <v>65</v>
      </c>
      <c r="F447" t="s">
        <v>106</v>
      </c>
    </row>
    <row r="448" spans="1:13" x14ac:dyDescent="0.3">
      <c r="A448" t="s">
        <v>240</v>
      </c>
      <c r="B448" t="s">
        <v>172</v>
      </c>
      <c r="C448">
        <v>160</v>
      </c>
      <c r="D448" t="s">
        <v>31</v>
      </c>
      <c r="E448" t="s">
        <v>70</v>
      </c>
      <c r="F448" t="s">
        <v>123</v>
      </c>
    </row>
    <row r="449" spans="1:13" x14ac:dyDescent="0.3">
      <c r="A449" t="s">
        <v>240</v>
      </c>
      <c r="B449" t="s">
        <v>174</v>
      </c>
      <c r="C449">
        <v>380</v>
      </c>
      <c r="D449" t="s">
        <v>60</v>
      </c>
      <c r="E449" t="s">
        <v>65</v>
      </c>
      <c r="F449">
        <v>10</v>
      </c>
      <c r="G449" t="s">
        <v>126</v>
      </c>
      <c r="M449" s="1"/>
    </row>
    <row r="450" spans="1:13" x14ac:dyDescent="0.3">
      <c r="A450" t="s">
        <v>240</v>
      </c>
      <c r="B450" t="s">
        <v>176</v>
      </c>
      <c r="C450">
        <v>200</v>
      </c>
      <c r="D450" t="s">
        <v>31</v>
      </c>
      <c r="E450" t="s">
        <v>61</v>
      </c>
      <c r="F450" t="s">
        <v>80</v>
      </c>
    </row>
    <row r="451" spans="1:13" x14ac:dyDescent="0.3">
      <c r="A451" t="s">
        <v>240</v>
      </c>
      <c r="B451" t="s">
        <v>178</v>
      </c>
      <c r="C451">
        <v>140</v>
      </c>
      <c r="D451" t="s">
        <v>60</v>
      </c>
      <c r="E451" t="s">
        <v>65</v>
      </c>
      <c r="F451" t="s">
        <v>86</v>
      </c>
    </row>
    <row r="452" spans="1:13" x14ac:dyDescent="0.3">
      <c r="A452" t="s">
        <v>240</v>
      </c>
      <c r="B452" t="s">
        <v>52</v>
      </c>
      <c r="C452" t="s">
        <v>53</v>
      </c>
    </row>
    <row r="453" spans="1:13" x14ac:dyDescent="0.3">
      <c r="A453" t="s">
        <v>240</v>
      </c>
      <c r="B453" t="s">
        <v>55</v>
      </c>
      <c r="C453" t="s">
        <v>56</v>
      </c>
      <c r="D453">
        <v>30</v>
      </c>
      <c r="E453" t="s">
        <v>57</v>
      </c>
      <c r="M453" s="1"/>
    </row>
    <row r="454" spans="1:13" x14ac:dyDescent="0.3">
      <c r="A454" t="s">
        <v>240</v>
      </c>
      <c r="B454" t="s">
        <v>59</v>
      </c>
      <c r="C454" t="s">
        <v>60</v>
      </c>
      <c r="D454" t="s">
        <v>61</v>
      </c>
      <c r="E454" t="s">
        <v>62</v>
      </c>
    </row>
    <row r="455" spans="1:13" x14ac:dyDescent="0.3">
      <c r="A455" t="s">
        <v>240</v>
      </c>
      <c r="B455" t="s">
        <v>64</v>
      </c>
      <c r="C455" t="s">
        <v>31</v>
      </c>
      <c r="D455" t="s">
        <v>65</v>
      </c>
      <c r="E455" t="s">
        <v>66</v>
      </c>
    </row>
    <row r="456" spans="1:13" x14ac:dyDescent="0.3">
      <c r="A456" t="s">
        <v>240</v>
      </c>
      <c r="B456" t="s">
        <v>68</v>
      </c>
      <c r="C456" t="s">
        <v>69</v>
      </c>
      <c r="D456" t="s">
        <v>60</v>
      </c>
      <c r="E456" t="s">
        <v>70</v>
      </c>
      <c r="F456">
        <v>0</v>
      </c>
      <c r="G456" t="s">
        <v>71</v>
      </c>
    </row>
    <row r="457" spans="1:13" x14ac:dyDescent="0.3">
      <c r="A457" t="s">
        <v>240</v>
      </c>
      <c r="B457" t="s">
        <v>73</v>
      </c>
      <c r="C457" t="s">
        <v>31</v>
      </c>
      <c r="D457" t="s">
        <v>65</v>
      </c>
      <c r="E457">
        <v>0</v>
      </c>
      <c r="F457" t="s">
        <v>74</v>
      </c>
      <c r="M457" s="1"/>
    </row>
    <row r="458" spans="1:13" x14ac:dyDescent="0.3">
      <c r="A458" t="s">
        <v>240</v>
      </c>
      <c r="B458" t="s">
        <v>76</v>
      </c>
      <c r="C458">
        <v>500</v>
      </c>
      <c r="D458" t="s">
        <v>60</v>
      </c>
      <c r="E458" t="s">
        <v>61</v>
      </c>
      <c r="F458" t="s">
        <v>77</v>
      </c>
    </row>
    <row r="459" spans="1:13" x14ac:dyDescent="0.3">
      <c r="A459" t="s">
        <v>240</v>
      </c>
      <c r="B459" t="s">
        <v>79</v>
      </c>
      <c r="C459">
        <v>1</v>
      </c>
      <c r="D459">
        <v>160</v>
      </c>
      <c r="E459" t="s">
        <v>31</v>
      </c>
      <c r="F459" t="s">
        <v>70</v>
      </c>
      <c r="G459" t="s">
        <v>80</v>
      </c>
    </row>
    <row r="460" spans="1:13" x14ac:dyDescent="0.3">
      <c r="A460" t="s">
        <v>240</v>
      </c>
      <c r="B460" t="s">
        <v>82</v>
      </c>
      <c r="C460" t="s">
        <v>60</v>
      </c>
      <c r="D460" t="s">
        <v>65</v>
      </c>
      <c r="E460" t="s">
        <v>83</v>
      </c>
    </row>
    <row r="461" spans="1:13" x14ac:dyDescent="0.3">
      <c r="A461" t="s">
        <v>240</v>
      </c>
      <c r="B461" t="s">
        <v>85</v>
      </c>
      <c r="C461" t="s">
        <v>31</v>
      </c>
      <c r="D461" t="s">
        <v>61</v>
      </c>
      <c r="E461" t="s">
        <v>86</v>
      </c>
      <c r="M461" s="1"/>
    </row>
    <row r="462" spans="1:13" x14ac:dyDescent="0.3">
      <c r="A462" t="s">
        <v>240</v>
      </c>
      <c r="B462" t="s">
        <v>88</v>
      </c>
      <c r="C462" t="s">
        <v>60</v>
      </c>
      <c r="D462" t="s">
        <v>65</v>
      </c>
      <c r="E462">
        <v>0</v>
      </c>
      <c r="F462" t="s">
        <v>71</v>
      </c>
    </row>
    <row r="463" spans="1:13" x14ac:dyDescent="0.3">
      <c r="A463" t="s">
        <v>240</v>
      </c>
      <c r="B463" t="s">
        <v>90</v>
      </c>
      <c r="C463">
        <v>100</v>
      </c>
      <c r="D463" t="s">
        <v>31</v>
      </c>
      <c r="E463" t="s">
        <v>70</v>
      </c>
      <c r="F463">
        <v>10</v>
      </c>
      <c r="G463" t="s">
        <v>74</v>
      </c>
      <c r="M463" s="1"/>
    </row>
    <row r="464" spans="1:13" x14ac:dyDescent="0.3">
      <c r="A464" t="s">
        <v>240</v>
      </c>
      <c r="B464" t="s">
        <v>92</v>
      </c>
      <c r="C464">
        <v>320</v>
      </c>
      <c r="D464" t="s">
        <v>60</v>
      </c>
      <c r="E464" t="s">
        <v>65</v>
      </c>
      <c r="F464">
        <v>0</v>
      </c>
      <c r="G464" t="s">
        <v>93</v>
      </c>
    </row>
    <row r="465" spans="1:13" x14ac:dyDescent="0.3">
      <c r="A465" t="s">
        <v>240</v>
      </c>
      <c r="B465" t="s">
        <v>95</v>
      </c>
      <c r="C465">
        <v>350</v>
      </c>
      <c r="D465" t="s">
        <v>31</v>
      </c>
      <c r="E465" t="s">
        <v>61</v>
      </c>
      <c r="F465" t="s">
        <v>96</v>
      </c>
    </row>
    <row r="466" spans="1:13" x14ac:dyDescent="0.3">
      <c r="A466" t="s">
        <v>240</v>
      </c>
      <c r="B466" t="s">
        <v>98</v>
      </c>
      <c r="C466" t="s">
        <v>60</v>
      </c>
      <c r="D466" t="s">
        <v>70</v>
      </c>
      <c r="E466" t="s">
        <v>80</v>
      </c>
    </row>
    <row r="467" spans="1:13" x14ac:dyDescent="0.3">
      <c r="A467" t="s">
        <v>240</v>
      </c>
      <c r="B467" t="s">
        <v>100</v>
      </c>
      <c r="C467" t="s">
        <v>31</v>
      </c>
      <c r="D467" t="s">
        <v>65</v>
      </c>
      <c r="E467" t="s">
        <v>66</v>
      </c>
      <c r="M467" s="1"/>
    </row>
    <row r="468" spans="1:13" x14ac:dyDescent="0.3">
      <c r="A468" t="s">
        <v>240</v>
      </c>
      <c r="B468" t="s">
        <v>102</v>
      </c>
      <c r="C468">
        <v>150</v>
      </c>
      <c r="D468" t="s">
        <v>60</v>
      </c>
      <c r="E468" t="s">
        <v>61</v>
      </c>
      <c r="F468" t="s">
        <v>103</v>
      </c>
    </row>
    <row r="469" spans="1:13" x14ac:dyDescent="0.3">
      <c r="A469" t="s">
        <v>240</v>
      </c>
      <c r="B469" t="s">
        <v>105</v>
      </c>
      <c r="C469" t="s">
        <v>31</v>
      </c>
      <c r="D469" t="s">
        <v>65</v>
      </c>
      <c r="E469" t="s">
        <v>106</v>
      </c>
    </row>
    <row r="470" spans="1:13" x14ac:dyDescent="0.3">
      <c r="A470" t="s">
        <v>240</v>
      </c>
      <c r="B470" t="s">
        <v>108</v>
      </c>
      <c r="C470">
        <v>250</v>
      </c>
      <c r="D470" t="s">
        <v>60</v>
      </c>
      <c r="E470" t="s">
        <v>61</v>
      </c>
      <c r="F470">
        <v>30</v>
      </c>
      <c r="G470" t="s">
        <v>93</v>
      </c>
    </row>
    <row r="471" spans="1:13" x14ac:dyDescent="0.3">
      <c r="A471" t="s">
        <v>240</v>
      </c>
      <c r="B471" t="s">
        <v>110</v>
      </c>
      <c r="C471">
        <v>150</v>
      </c>
      <c r="D471" t="s">
        <v>31</v>
      </c>
      <c r="E471" t="s">
        <v>70</v>
      </c>
      <c r="F471" t="s">
        <v>62</v>
      </c>
    </row>
    <row r="472" spans="1:13" x14ac:dyDescent="0.3">
      <c r="A472" t="s">
        <v>240</v>
      </c>
      <c r="B472" t="s">
        <v>112</v>
      </c>
      <c r="C472">
        <v>300</v>
      </c>
      <c r="D472" t="s">
        <v>60</v>
      </c>
      <c r="E472" t="s">
        <v>65</v>
      </c>
      <c r="F472" t="s">
        <v>80</v>
      </c>
    </row>
    <row r="473" spans="1:13" x14ac:dyDescent="0.3">
      <c r="A473" t="s">
        <v>240</v>
      </c>
      <c r="B473" t="s">
        <v>114</v>
      </c>
      <c r="C473">
        <v>3</v>
      </c>
      <c r="D473">
        <v>180</v>
      </c>
      <c r="E473" t="s">
        <v>31</v>
      </c>
      <c r="F473" t="s">
        <v>61</v>
      </c>
      <c r="G473">
        <v>10</v>
      </c>
      <c r="M473" s="1"/>
    </row>
    <row r="474" spans="1:13" x14ac:dyDescent="0.3">
      <c r="A474" t="s">
        <v>240</v>
      </c>
      <c r="B474" t="s">
        <v>117</v>
      </c>
      <c r="C474">
        <v>90</v>
      </c>
      <c r="D474" t="s">
        <v>60</v>
      </c>
      <c r="E474" t="s">
        <v>65</v>
      </c>
      <c r="F474">
        <v>0</v>
      </c>
      <c r="G474" t="s">
        <v>71</v>
      </c>
    </row>
    <row r="475" spans="1:13" x14ac:dyDescent="0.3">
      <c r="A475" t="s">
        <v>240</v>
      </c>
      <c r="B475" t="s">
        <v>119</v>
      </c>
      <c r="C475">
        <v>320</v>
      </c>
      <c r="D475" t="s">
        <v>31</v>
      </c>
      <c r="E475" t="s">
        <v>70</v>
      </c>
      <c r="F475" t="s">
        <v>120</v>
      </c>
    </row>
    <row r="476" spans="1:13" x14ac:dyDescent="0.3">
      <c r="A476" t="s">
        <v>240</v>
      </c>
      <c r="B476" t="s">
        <v>122</v>
      </c>
      <c r="C476">
        <v>120</v>
      </c>
      <c r="D476" t="s">
        <v>60</v>
      </c>
      <c r="E476" t="s">
        <v>61</v>
      </c>
      <c r="F476" t="s">
        <v>123</v>
      </c>
    </row>
    <row r="477" spans="1:13" x14ac:dyDescent="0.3">
      <c r="A477" t="s">
        <v>240</v>
      </c>
      <c r="B477" t="s">
        <v>125</v>
      </c>
      <c r="C477">
        <v>1</v>
      </c>
      <c r="D477">
        <v>450</v>
      </c>
      <c r="E477" t="s">
        <v>31</v>
      </c>
      <c r="F477" t="s">
        <v>65</v>
      </c>
      <c r="G477">
        <v>15</v>
      </c>
      <c r="M477" s="1"/>
    </row>
    <row r="478" spans="1:13" x14ac:dyDescent="0.3">
      <c r="A478" t="s">
        <v>240</v>
      </c>
      <c r="B478" t="s">
        <v>128</v>
      </c>
      <c r="C478">
        <v>260</v>
      </c>
      <c r="D478" t="s">
        <v>60</v>
      </c>
      <c r="E478" t="s">
        <v>61</v>
      </c>
      <c r="F478" t="s">
        <v>80</v>
      </c>
    </row>
    <row r="479" spans="1:13" x14ac:dyDescent="0.3">
      <c r="A479" t="s">
        <v>240</v>
      </c>
      <c r="B479" t="s">
        <v>130</v>
      </c>
      <c r="C479">
        <v>300</v>
      </c>
      <c r="D479" t="s">
        <v>31</v>
      </c>
      <c r="E479" t="s">
        <v>70</v>
      </c>
      <c r="F479" t="s">
        <v>66</v>
      </c>
    </row>
    <row r="480" spans="1:13" x14ac:dyDescent="0.3">
      <c r="A480" t="s">
        <v>240</v>
      </c>
      <c r="B480" t="s">
        <v>132</v>
      </c>
      <c r="C480">
        <v>200</v>
      </c>
      <c r="D480" t="s">
        <v>60</v>
      </c>
      <c r="E480" t="s">
        <v>65</v>
      </c>
      <c r="F480" t="s">
        <v>103</v>
      </c>
    </row>
    <row r="481" spans="1:13" x14ac:dyDescent="0.3">
      <c r="A481" t="s">
        <v>240</v>
      </c>
      <c r="B481" t="s">
        <v>134</v>
      </c>
      <c r="C481">
        <v>240</v>
      </c>
      <c r="D481" t="s">
        <v>31</v>
      </c>
      <c r="E481" t="s">
        <v>65</v>
      </c>
      <c r="F481">
        <v>10</v>
      </c>
      <c r="G481" t="s">
        <v>74</v>
      </c>
      <c r="M481" s="1"/>
    </row>
    <row r="482" spans="1:13" x14ac:dyDescent="0.3">
      <c r="A482" t="s">
        <v>240</v>
      </c>
      <c r="B482" t="s">
        <v>136</v>
      </c>
      <c r="C482">
        <v>320</v>
      </c>
      <c r="D482" t="s">
        <v>60</v>
      </c>
      <c r="E482" t="s">
        <v>61</v>
      </c>
      <c r="F482" t="s">
        <v>123</v>
      </c>
    </row>
    <row r="483" spans="1:13" x14ac:dyDescent="0.3">
      <c r="A483" t="s">
        <v>240</v>
      </c>
      <c r="B483" t="s">
        <v>138</v>
      </c>
      <c r="C483">
        <v>200</v>
      </c>
      <c r="D483" t="s">
        <v>31</v>
      </c>
      <c r="E483" t="s">
        <v>61</v>
      </c>
      <c r="F483" t="s">
        <v>62</v>
      </c>
    </row>
    <row r="484" spans="1:13" x14ac:dyDescent="0.3">
      <c r="A484" t="s">
        <v>240</v>
      </c>
      <c r="B484" t="s">
        <v>140</v>
      </c>
      <c r="C484">
        <v>250</v>
      </c>
      <c r="D484" t="s">
        <v>60</v>
      </c>
      <c r="E484" t="s">
        <v>65</v>
      </c>
      <c r="F484" t="s">
        <v>141</v>
      </c>
    </row>
    <row r="485" spans="1:13" x14ac:dyDescent="0.3">
      <c r="A485" t="s">
        <v>240</v>
      </c>
      <c r="B485" t="s">
        <v>143</v>
      </c>
      <c r="C485">
        <v>180</v>
      </c>
      <c r="D485" t="s">
        <v>31</v>
      </c>
      <c r="E485" t="s">
        <v>70</v>
      </c>
      <c r="F485" t="s">
        <v>86</v>
      </c>
    </row>
    <row r="486" spans="1:13" x14ac:dyDescent="0.3">
      <c r="A486" t="s">
        <v>240</v>
      </c>
      <c r="B486" t="s">
        <v>145</v>
      </c>
      <c r="C486">
        <v>200</v>
      </c>
      <c r="D486" t="s">
        <v>60</v>
      </c>
      <c r="E486" t="s">
        <v>65</v>
      </c>
      <c r="F486" t="s">
        <v>103</v>
      </c>
    </row>
    <row r="487" spans="1:13" x14ac:dyDescent="0.3">
      <c r="A487" t="s">
        <v>240</v>
      </c>
      <c r="B487" t="s">
        <v>76</v>
      </c>
      <c r="C487">
        <v>500</v>
      </c>
      <c r="D487" t="s">
        <v>31</v>
      </c>
      <c r="E487" t="s">
        <v>61</v>
      </c>
      <c r="F487">
        <v>15</v>
      </c>
      <c r="G487" t="s">
        <v>74</v>
      </c>
      <c r="M487" s="1"/>
    </row>
    <row r="488" spans="1:13" x14ac:dyDescent="0.3">
      <c r="A488" t="s">
        <v>240</v>
      </c>
      <c r="B488" t="s">
        <v>148</v>
      </c>
      <c r="C488">
        <v>180</v>
      </c>
      <c r="D488" t="s">
        <v>60</v>
      </c>
      <c r="E488" t="s">
        <v>65</v>
      </c>
      <c r="F488" t="s">
        <v>123</v>
      </c>
    </row>
    <row r="489" spans="1:13" x14ac:dyDescent="0.3">
      <c r="A489" t="s">
        <v>240</v>
      </c>
      <c r="B489" t="s">
        <v>150</v>
      </c>
      <c r="C489">
        <v>450</v>
      </c>
      <c r="D489" t="s">
        <v>31</v>
      </c>
      <c r="E489" t="s">
        <v>70</v>
      </c>
      <c r="F489" t="s">
        <v>151</v>
      </c>
    </row>
    <row r="490" spans="1:13" x14ac:dyDescent="0.3">
      <c r="A490" t="s">
        <v>240</v>
      </c>
      <c r="B490" t="s">
        <v>95</v>
      </c>
      <c r="C490">
        <v>300</v>
      </c>
      <c r="D490" t="s">
        <v>60</v>
      </c>
      <c r="E490" t="s">
        <v>61</v>
      </c>
      <c r="F490" t="s">
        <v>80</v>
      </c>
    </row>
    <row r="491" spans="1:13" x14ac:dyDescent="0.3">
      <c r="A491" t="s">
        <v>240</v>
      </c>
      <c r="B491" t="s">
        <v>154</v>
      </c>
      <c r="C491">
        <v>260</v>
      </c>
      <c r="D491" t="s">
        <v>31</v>
      </c>
      <c r="E491" t="s">
        <v>65</v>
      </c>
      <c r="F491" t="s">
        <v>86</v>
      </c>
    </row>
    <row r="492" spans="1:13" x14ac:dyDescent="0.3">
      <c r="A492" t="s">
        <v>240</v>
      </c>
      <c r="B492" t="s">
        <v>156</v>
      </c>
      <c r="C492">
        <v>350</v>
      </c>
      <c r="D492" t="s">
        <v>60</v>
      </c>
      <c r="E492" t="s">
        <v>61</v>
      </c>
      <c r="F492" t="s">
        <v>157</v>
      </c>
    </row>
    <row r="493" spans="1:13" x14ac:dyDescent="0.3">
      <c r="A493" t="s">
        <v>240</v>
      </c>
      <c r="B493" t="s">
        <v>46</v>
      </c>
    </row>
    <row r="494" spans="1:13" x14ac:dyDescent="0.3">
      <c r="A494" t="s">
        <v>240</v>
      </c>
      <c r="B494" t="s">
        <v>48</v>
      </c>
    </row>
    <row r="495" spans="1:13" x14ac:dyDescent="0.3">
      <c r="A495" t="s">
        <v>240</v>
      </c>
      <c r="B495" t="s">
        <v>50</v>
      </c>
    </row>
    <row r="496" spans="1:13" x14ac:dyDescent="0.3">
      <c r="A496" t="s">
        <v>240</v>
      </c>
      <c r="B496" t="s">
        <v>52</v>
      </c>
      <c r="C496" t="s">
        <v>53</v>
      </c>
    </row>
    <row r="497" spans="1:13" x14ac:dyDescent="0.3">
      <c r="A497" t="s">
        <v>240</v>
      </c>
      <c r="B497" t="s">
        <v>55</v>
      </c>
      <c r="C497" t="s">
        <v>56</v>
      </c>
      <c r="D497">
        <v>30</v>
      </c>
      <c r="E497" t="s">
        <v>57</v>
      </c>
      <c r="M497" s="1"/>
    </row>
    <row r="498" spans="1:13" x14ac:dyDescent="0.3">
      <c r="A498" t="s">
        <v>240</v>
      </c>
      <c r="B498" t="s">
        <v>59</v>
      </c>
      <c r="C498" t="s">
        <v>60</v>
      </c>
      <c r="D498" t="s">
        <v>61</v>
      </c>
      <c r="E498" t="s">
        <v>62</v>
      </c>
    </row>
    <row r="499" spans="1:13" x14ac:dyDescent="0.3">
      <c r="A499" t="s">
        <v>240</v>
      </c>
      <c r="B499" t="s">
        <v>64</v>
      </c>
      <c r="C499" t="s">
        <v>31</v>
      </c>
      <c r="D499" t="s">
        <v>65</v>
      </c>
      <c r="E499" t="s">
        <v>66</v>
      </c>
    </row>
    <row r="500" spans="1:13" x14ac:dyDescent="0.3">
      <c r="A500" t="s">
        <v>240</v>
      </c>
      <c r="B500" t="s">
        <v>68</v>
      </c>
      <c r="C500" t="s">
        <v>69</v>
      </c>
      <c r="D500" t="s">
        <v>60</v>
      </c>
      <c r="E500" t="s">
        <v>70</v>
      </c>
      <c r="F500">
        <v>0</v>
      </c>
      <c r="G500" t="s">
        <v>71</v>
      </c>
    </row>
    <row r="501" spans="1:13" x14ac:dyDescent="0.3">
      <c r="A501" t="s">
        <v>240</v>
      </c>
      <c r="B501" t="s">
        <v>73</v>
      </c>
      <c r="C501" t="s">
        <v>31</v>
      </c>
      <c r="D501" t="s">
        <v>65</v>
      </c>
      <c r="E501">
        <v>0</v>
      </c>
      <c r="F501" t="s">
        <v>74</v>
      </c>
      <c r="M501" s="1"/>
    </row>
    <row r="502" spans="1:13" x14ac:dyDescent="0.3">
      <c r="A502" t="s">
        <v>240</v>
      </c>
      <c r="B502" t="s">
        <v>76</v>
      </c>
      <c r="C502">
        <v>500</v>
      </c>
      <c r="D502" t="s">
        <v>60</v>
      </c>
      <c r="E502" t="s">
        <v>61</v>
      </c>
      <c r="F502" t="s">
        <v>77</v>
      </c>
    </row>
    <row r="503" spans="1:13" x14ac:dyDescent="0.3">
      <c r="A503" t="s">
        <v>240</v>
      </c>
      <c r="B503" t="s">
        <v>79</v>
      </c>
      <c r="C503">
        <v>1</v>
      </c>
      <c r="D503">
        <v>160</v>
      </c>
      <c r="E503" t="s">
        <v>31</v>
      </c>
      <c r="F503" t="s">
        <v>70</v>
      </c>
      <c r="G503" t="s">
        <v>80</v>
      </c>
    </row>
    <row r="504" spans="1:13" x14ac:dyDescent="0.3">
      <c r="A504" t="s">
        <v>240</v>
      </c>
      <c r="B504" t="s">
        <v>82</v>
      </c>
      <c r="C504" t="s">
        <v>60</v>
      </c>
      <c r="D504" t="s">
        <v>65</v>
      </c>
      <c r="E504" t="s">
        <v>83</v>
      </c>
    </row>
    <row r="505" spans="1:13" x14ac:dyDescent="0.3">
      <c r="A505" t="s">
        <v>240</v>
      </c>
      <c r="B505" t="s">
        <v>85</v>
      </c>
      <c r="C505" t="s">
        <v>31</v>
      </c>
      <c r="D505" t="s">
        <v>61</v>
      </c>
      <c r="E505" t="s">
        <v>86</v>
      </c>
      <c r="M505" s="1"/>
    </row>
    <row r="506" spans="1:13" x14ac:dyDescent="0.3">
      <c r="A506" t="s">
        <v>240</v>
      </c>
      <c r="B506" t="s">
        <v>88</v>
      </c>
      <c r="C506" t="s">
        <v>60</v>
      </c>
      <c r="D506" t="s">
        <v>65</v>
      </c>
      <c r="E506">
        <v>0</v>
      </c>
      <c r="F506" t="s">
        <v>71</v>
      </c>
    </row>
    <row r="507" spans="1:13" x14ac:dyDescent="0.3">
      <c r="A507" t="s">
        <v>240</v>
      </c>
      <c r="B507" t="s">
        <v>90</v>
      </c>
      <c r="C507">
        <v>100</v>
      </c>
      <c r="D507" t="s">
        <v>31</v>
      </c>
      <c r="E507" t="s">
        <v>70</v>
      </c>
      <c r="F507">
        <v>10</v>
      </c>
      <c r="G507" t="s">
        <v>74</v>
      </c>
      <c r="M507" s="1"/>
    </row>
    <row r="508" spans="1:13" x14ac:dyDescent="0.3">
      <c r="A508" t="s">
        <v>240</v>
      </c>
      <c r="B508" t="s">
        <v>92</v>
      </c>
      <c r="C508">
        <v>320</v>
      </c>
      <c r="D508" t="s">
        <v>60</v>
      </c>
      <c r="E508" t="s">
        <v>65</v>
      </c>
      <c r="F508">
        <v>0</v>
      </c>
      <c r="G508" t="s">
        <v>93</v>
      </c>
    </row>
    <row r="509" spans="1:13" x14ac:dyDescent="0.3">
      <c r="A509" t="s">
        <v>240</v>
      </c>
      <c r="B509" t="s">
        <v>95</v>
      </c>
      <c r="C509">
        <v>350</v>
      </c>
      <c r="D509" t="s">
        <v>31</v>
      </c>
      <c r="E509" t="s">
        <v>61</v>
      </c>
      <c r="F509" t="s">
        <v>96</v>
      </c>
    </row>
    <row r="510" spans="1:13" x14ac:dyDescent="0.3">
      <c r="A510" t="s">
        <v>240</v>
      </c>
      <c r="B510" t="s">
        <v>98</v>
      </c>
      <c r="C510" t="s">
        <v>60</v>
      </c>
      <c r="D510" t="s">
        <v>70</v>
      </c>
      <c r="E510" t="s">
        <v>80</v>
      </c>
    </row>
    <row r="511" spans="1:13" x14ac:dyDescent="0.3">
      <c r="A511" t="s">
        <v>240</v>
      </c>
      <c r="B511" t="s">
        <v>100</v>
      </c>
      <c r="C511" t="s">
        <v>31</v>
      </c>
      <c r="D511" t="s">
        <v>65</v>
      </c>
      <c r="E511" t="s">
        <v>66</v>
      </c>
      <c r="M511" s="1"/>
    </row>
    <row r="512" spans="1:13" x14ac:dyDescent="0.3">
      <c r="A512" t="s">
        <v>240</v>
      </c>
      <c r="B512" t="s">
        <v>102</v>
      </c>
      <c r="C512">
        <v>150</v>
      </c>
      <c r="D512" t="s">
        <v>60</v>
      </c>
      <c r="E512" t="s">
        <v>61</v>
      </c>
      <c r="F512" t="s">
        <v>103</v>
      </c>
    </row>
    <row r="513" spans="1:13" x14ac:dyDescent="0.3">
      <c r="A513" t="s">
        <v>240</v>
      </c>
      <c r="B513" t="s">
        <v>105</v>
      </c>
      <c r="C513" t="s">
        <v>31</v>
      </c>
      <c r="D513" t="s">
        <v>65</v>
      </c>
      <c r="E513" t="s">
        <v>106</v>
      </c>
    </row>
    <row r="514" spans="1:13" x14ac:dyDescent="0.3">
      <c r="A514" t="s">
        <v>240</v>
      </c>
      <c r="B514" t="s">
        <v>108</v>
      </c>
      <c r="C514">
        <v>250</v>
      </c>
      <c r="D514" t="s">
        <v>60</v>
      </c>
      <c r="E514" t="s">
        <v>61</v>
      </c>
      <c r="F514">
        <v>30</v>
      </c>
      <c r="G514" t="s">
        <v>93</v>
      </c>
    </row>
    <row r="515" spans="1:13" x14ac:dyDescent="0.3">
      <c r="A515" t="s">
        <v>240</v>
      </c>
      <c r="B515" t="s">
        <v>110</v>
      </c>
      <c r="C515">
        <v>150</v>
      </c>
      <c r="D515" t="s">
        <v>31</v>
      </c>
      <c r="E515" t="s">
        <v>70</v>
      </c>
      <c r="F515" t="s">
        <v>62</v>
      </c>
    </row>
    <row r="516" spans="1:13" x14ac:dyDescent="0.3">
      <c r="A516" t="s">
        <v>240</v>
      </c>
      <c r="B516" t="s">
        <v>112</v>
      </c>
      <c r="C516">
        <v>300</v>
      </c>
      <c r="D516" t="s">
        <v>60</v>
      </c>
      <c r="E516" t="s">
        <v>65</v>
      </c>
      <c r="F516" t="s">
        <v>80</v>
      </c>
    </row>
    <row r="517" spans="1:13" x14ac:dyDescent="0.3">
      <c r="A517" t="s">
        <v>240</v>
      </c>
      <c r="B517" t="s">
        <v>114</v>
      </c>
      <c r="C517">
        <v>3</v>
      </c>
      <c r="D517">
        <v>180</v>
      </c>
      <c r="E517" t="s">
        <v>31</v>
      </c>
      <c r="F517" t="s">
        <v>61</v>
      </c>
      <c r="G517">
        <v>10</v>
      </c>
      <c r="M517" s="1"/>
    </row>
    <row r="518" spans="1:13" x14ac:dyDescent="0.3">
      <c r="A518" t="s">
        <v>240</v>
      </c>
      <c r="B518" t="s">
        <v>117</v>
      </c>
      <c r="C518">
        <v>90</v>
      </c>
      <c r="D518" t="s">
        <v>60</v>
      </c>
      <c r="E518" t="s">
        <v>65</v>
      </c>
      <c r="F518">
        <v>0</v>
      </c>
      <c r="G518" t="s">
        <v>71</v>
      </c>
    </row>
    <row r="519" spans="1:13" x14ac:dyDescent="0.3">
      <c r="A519" t="s">
        <v>240</v>
      </c>
      <c r="B519" t="s">
        <v>119</v>
      </c>
      <c r="C519">
        <v>320</v>
      </c>
      <c r="D519" t="s">
        <v>31</v>
      </c>
      <c r="E519" t="s">
        <v>70</v>
      </c>
      <c r="F519" t="s">
        <v>120</v>
      </c>
    </row>
    <row r="520" spans="1:13" x14ac:dyDescent="0.3">
      <c r="A520" t="s">
        <v>240</v>
      </c>
      <c r="B520" t="s">
        <v>122</v>
      </c>
      <c r="C520">
        <v>120</v>
      </c>
      <c r="D520" t="s">
        <v>60</v>
      </c>
      <c r="E520" t="s">
        <v>61</v>
      </c>
      <c r="F520" t="s">
        <v>123</v>
      </c>
    </row>
    <row r="521" spans="1:13" x14ac:dyDescent="0.3">
      <c r="A521" t="s">
        <v>240</v>
      </c>
      <c r="B521" t="s">
        <v>125</v>
      </c>
      <c r="C521">
        <v>1</v>
      </c>
      <c r="D521">
        <v>450</v>
      </c>
      <c r="E521" t="s">
        <v>31</v>
      </c>
      <c r="F521" t="s">
        <v>65</v>
      </c>
      <c r="G521">
        <v>15</v>
      </c>
      <c r="M521" s="1"/>
    </row>
    <row r="522" spans="1:13" x14ac:dyDescent="0.3">
      <c r="A522" t="s">
        <v>240</v>
      </c>
      <c r="B522" t="s">
        <v>128</v>
      </c>
      <c r="C522">
        <v>260</v>
      </c>
      <c r="D522" t="s">
        <v>60</v>
      </c>
      <c r="E522" t="s">
        <v>61</v>
      </c>
      <c r="F522" t="s">
        <v>80</v>
      </c>
    </row>
    <row r="523" spans="1:13" x14ac:dyDescent="0.3">
      <c r="A523" t="s">
        <v>240</v>
      </c>
      <c r="B523" t="s">
        <v>130</v>
      </c>
      <c r="C523">
        <v>300</v>
      </c>
      <c r="D523" t="s">
        <v>31</v>
      </c>
      <c r="E523" t="s">
        <v>70</v>
      </c>
      <c r="F523" t="s">
        <v>66</v>
      </c>
    </row>
    <row r="524" spans="1:13" x14ac:dyDescent="0.3">
      <c r="A524" t="s">
        <v>240</v>
      </c>
      <c r="B524" t="s">
        <v>132</v>
      </c>
      <c r="C524">
        <v>200</v>
      </c>
      <c r="D524" t="s">
        <v>60</v>
      </c>
      <c r="E524" t="s">
        <v>65</v>
      </c>
      <c r="F524" t="s">
        <v>103</v>
      </c>
    </row>
    <row r="525" spans="1:13" x14ac:dyDescent="0.3">
      <c r="A525" t="s">
        <v>240</v>
      </c>
      <c r="B525" t="s">
        <v>134</v>
      </c>
      <c r="C525">
        <v>240</v>
      </c>
      <c r="D525" t="s">
        <v>31</v>
      </c>
      <c r="E525" t="s">
        <v>65</v>
      </c>
      <c r="F525">
        <v>10</v>
      </c>
      <c r="G525" t="s">
        <v>74</v>
      </c>
      <c r="M525" s="1"/>
    </row>
    <row r="526" spans="1:13" x14ac:dyDescent="0.3">
      <c r="A526" t="s">
        <v>240</v>
      </c>
      <c r="B526" t="s">
        <v>136</v>
      </c>
      <c r="C526">
        <v>320</v>
      </c>
      <c r="D526" t="s">
        <v>60</v>
      </c>
      <c r="E526" t="s">
        <v>61</v>
      </c>
      <c r="F526" t="s">
        <v>123</v>
      </c>
    </row>
    <row r="527" spans="1:13" x14ac:dyDescent="0.3">
      <c r="A527" t="s">
        <v>240</v>
      </c>
      <c r="B527" t="s">
        <v>138</v>
      </c>
      <c r="C527">
        <v>200</v>
      </c>
      <c r="D527" t="s">
        <v>31</v>
      </c>
      <c r="E527" t="s">
        <v>61</v>
      </c>
      <c r="F527" t="s">
        <v>62</v>
      </c>
    </row>
    <row r="528" spans="1:13" x14ac:dyDescent="0.3">
      <c r="A528" t="s">
        <v>240</v>
      </c>
      <c r="B528" t="s">
        <v>140</v>
      </c>
      <c r="C528">
        <v>250</v>
      </c>
      <c r="D528" t="s">
        <v>60</v>
      </c>
      <c r="E528" t="s">
        <v>65</v>
      </c>
      <c r="F528" t="s">
        <v>141</v>
      </c>
    </row>
    <row r="529" spans="1:13" x14ac:dyDescent="0.3">
      <c r="A529" t="s">
        <v>240</v>
      </c>
      <c r="B529" t="s">
        <v>143</v>
      </c>
      <c r="C529">
        <v>180</v>
      </c>
      <c r="D529" t="s">
        <v>31</v>
      </c>
      <c r="E529" t="s">
        <v>70</v>
      </c>
      <c r="F529" t="s">
        <v>86</v>
      </c>
    </row>
    <row r="530" spans="1:13" x14ac:dyDescent="0.3">
      <c r="A530" t="s">
        <v>240</v>
      </c>
      <c r="B530" t="s">
        <v>145</v>
      </c>
      <c r="C530">
        <v>200</v>
      </c>
      <c r="D530" t="s">
        <v>60</v>
      </c>
      <c r="E530" t="s">
        <v>65</v>
      </c>
      <c r="F530" t="s">
        <v>103</v>
      </c>
    </row>
    <row r="531" spans="1:13" x14ac:dyDescent="0.3">
      <c r="A531" t="s">
        <v>240</v>
      </c>
      <c r="B531" t="s">
        <v>76</v>
      </c>
      <c r="C531">
        <v>500</v>
      </c>
      <c r="D531" t="s">
        <v>31</v>
      </c>
      <c r="E531" t="s">
        <v>61</v>
      </c>
      <c r="F531">
        <v>15</v>
      </c>
      <c r="G531" t="s">
        <v>74</v>
      </c>
      <c r="M531" s="1"/>
    </row>
    <row r="532" spans="1:13" x14ac:dyDescent="0.3">
      <c r="A532" t="s">
        <v>240</v>
      </c>
      <c r="B532" t="s">
        <v>148</v>
      </c>
      <c r="C532">
        <v>180</v>
      </c>
      <c r="D532" t="s">
        <v>60</v>
      </c>
      <c r="E532" t="s">
        <v>65</v>
      </c>
      <c r="F532" t="s">
        <v>123</v>
      </c>
    </row>
    <row r="533" spans="1:13" x14ac:dyDescent="0.3">
      <c r="A533" t="s">
        <v>240</v>
      </c>
      <c r="B533" t="s">
        <v>150</v>
      </c>
      <c r="C533">
        <v>450</v>
      </c>
      <c r="D533" t="s">
        <v>31</v>
      </c>
      <c r="E533" t="s">
        <v>70</v>
      </c>
      <c r="F533" t="s">
        <v>151</v>
      </c>
    </row>
    <row r="534" spans="1:13" x14ac:dyDescent="0.3">
      <c r="A534" t="s">
        <v>240</v>
      </c>
      <c r="B534" t="s">
        <v>95</v>
      </c>
      <c r="C534">
        <v>300</v>
      </c>
      <c r="D534" t="s">
        <v>60</v>
      </c>
      <c r="E534" t="s">
        <v>61</v>
      </c>
      <c r="F534" t="s">
        <v>80</v>
      </c>
    </row>
    <row r="535" spans="1:13" x14ac:dyDescent="0.3">
      <c r="A535" t="s">
        <v>240</v>
      </c>
      <c r="B535" t="s">
        <v>154</v>
      </c>
      <c r="C535">
        <v>260</v>
      </c>
      <c r="D535" t="s">
        <v>31</v>
      </c>
      <c r="E535" t="s">
        <v>65</v>
      </c>
      <c r="F535" t="s">
        <v>86</v>
      </c>
    </row>
    <row r="536" spans="1:13" x14ac:dyDescent="0.3">
      <c r="A536" t="s">
        <v>240</v>
      </c>
      <c r="B536" t="s">
        <v>156</v>
      </c>
      <c r="C536">
        <v>350</v>
      </c>
      <c r="D536" t="s">
        <v>60</v>
      </c>
      <c r="E536" t="s">
        <v>61</v>
      </c>
      <c r="F536" t="s">
        <v>157</v>
      </c>
    </row>
    <row r="537" spans="1:13" x14ac:dyDescent="0.3">
      <c r="A537" t="s">
        <v>240</v>
      </c>
      <c r="B537" t="s">
        <v>159</v>
      </c>
      <c r="C537">
        <v>420</v>
      </c>
      <c r="D537" t="s">
        <v>31</v>
      </c>
      <c r="E537" t="s">
        <v>70</v>
      </c>
      <c r="F537">
        <v>0</v>
      </c>
      <c r="G537" t="s">
        <v>74</v>
      </c>
      <c r="M537" s="1"/>
    </row>
    <row r="538" spans="1:13" x14ac:dyDescent="0.3">
      <c r="A538" t="s">
        <v>240</v>
      </c>
      <c r="B538" t="s">
        <v>161</v>
      </c>
      <c r="C538">
        <v>500</v>
      </c>
      <c r="D538" t="s">
        <v>60</v>
      </c>
      <c r="E538" t="s">
        <v>65</v>
      </c>
      <c r="F538" t="s">
        <v>123</v>
      </c>
    </row>
    <row r="539" spans="1:13" x14ac:dyDescent="0.3">
      <c r="A539" t="s">
        <v>240</v>
      </c>
      <c r="B539" t="s">
        <v>163</v>
      </c>
      <c r="C539">
        <v>220</v>
      </c>
      <c r="D539" t="s">
        <v>31</v>
      </c>
      <c r="E539" t="s">
        <v>65</v>
      </c>
      <c r="F539" t="s">
        <v>164</v>
      </c>
    </row>
    <row r="540" spans="1:13" x14ac:dyDescent="0.3">
      <c r="A540" t="s">
        <v>240</v>
      </c>
      <c r="B540" t="s">
        <v>166</v>
      </c>
      <c r="C540">
        <v>180</v>
      </c>
      <c r="D540" t="s">
        <v>60</v>
      </c>
      <c r="E540" t="s">
        <v>70</v>
      </c>
      <c r="F540" t="s">
        <v>80</v>
      </c>
    </row>
    <row r="541" spans="1:13" x14ac:dyDescent="0.3">
      <c r="A541" t="s">
        <v>240</v>
      </c>
      <c r="B541" t="s">
        <v>168</v>
      </c>
      <c r="C541">
        <v>280</v>
      </c>
      <c r="D541" t="s">
        <v>31</v>
      </c>
      <c r="E541" t="s">
        <v>61</v>
      </c>
      <c r="F541">
        <v>0</v>
      </c>
      <c r="G541" t="s">
        <v>115</v>
      </c>
      <c r="M541" s="1"/>
    </row>
    <row r="542" spans="1:13" x14ac:dyDescent="0.3">
      <c r="A542" t="s">
        <v>240</v>
      </c>
      <c r="B542" t="s">
        <v>76</v>
      </c>
      <c r="C542">
        <v>500</v>
      </c>
      <c r="D542" t="s">
        <v>60</v>
      </c>
      <c r="E542" t="s">
        <v>61</v>
      </c>
      <c r="F542" t="s">
        <v>170</v>
      </c>
    </row>
    <row r="543" spans="1:13" x14ac:dyDescent="0.3">
      <c r="A543" t="s">
        <v>240</v>
      </c>
      <c r="B543" t="s">
        <v>172</v>
      </c>
      <c r="C543">
        <v>160</v>
      </c>
      <c r="D543" t="s">
        <v>31</v>
      </c>
      <c r="E543" t="s">
        <v>70</v>
      </c>
      <c r="F543" t="s">
        <v>106</v>
      </c>
    </row>
    <row r="544" spans="1:13" x14ac:dyDescent="0.3">
      <c r="A544" t="s">
        <v>240</v>
      </c>
      <c r="B544" t="s">
        <v>174</v>
      </c>
      <c r="C544">
        <v>380</v>
      </c>
      <c r="D544" t="s">
        <v>60</v>
      </c>
      <c r="E544" t="s">
        <v>65</v>
      </c>
      <c r="F544" t="s">
        <v>123</v>
      </c>
    </row>
    <row r="545" spans="1:13" x14ac:dyDescent="0.3">
      <c r="A545" t="s">
        <v>240</v>
      </c>
      <c r="B545" t="s">
        <v>176</v>
      </c>
      <c r="C545">
        <v>200</v>
      </c>
      <c r="D545" t="s">
        <v>31</v>
      </c>
      <c r="E545" t="s">
        <v>65</v>
      </c>
      <c r="F545">
        <v>10</v>
      </c>
      <c r="G545" t="s">
        <v>126</v>
      </c>
      <c r="M545" s="1"/>
    </row>
    <row r="546" spans="1:13" x14ac:dyDescent="0.3">
      <c r="A546" t="s">
        <v>240</v>
      </c>
      <c r="B546" t="s">
        <v>178</v>
      </c>
      <c r="C546">
        <v>140</v>
      </c>
      <c r="D546" t="s">
        <v>60</v>
      </c>
      <c r="E546" t="s">
        <v>61</v>
      </c>
      <c r="F546" t="s">
        <v>80</v>
      </c>
    </row>
    <row r="547" spans="1:13" x14ac:dyDescent="0.3">
      <c r="A547" t="s">
        <v>240</v>
      </c>
      <c r="B547" t="s">
        <v>90</v>
      </c>
      <c r="C547">
        <v>100</v>
      </c>
      <c r="D547" t="s">
        <v>31</v>
      </c>
      <c r="E547" t="s">
        <v>65</v>
      </c>
      <c r="F547" t="s">
        <v>86</v>
      </c>
    </row>
    <row r="548" spans="1:13" x14ac:dyDescent="0.3">
      <c r="A548" t="s">
        <v>240</v>
      </c>
      <c r="B548" t="s">
        <v>73</v>
      </c>
      <c r="C548" t="s">
        <v>31</v>
      </c>
      <c r="D548" t="s">
        <v>65</v>
      </c>
      <c r="E548" t="s">
        <v>151</v>
      </c>
    </row>
    <row r="549" spans="1:13" x14ac:dyDescent="0.3">
      <c r="A549" t="s">
        <v>240</v>
      </c>
      <c r="B549" t="s">
        <v>161</v>
      </c>
      <c r="C549">
        <v>500</v>
      </c>
      <c r="D549" t="s">
        <v>60</v>
      </c>
      <c r="E549" t="s">
        <v>61</v>
      </c>
      <c r="F549">
        <v>0</v>
      </c>
      <c r="G549" t="s">
        <v>115</v>
      </c>
    </row>
    <row r="550" spans="1:13" x14ac:dyDescent="0.3">
      <c r="A550" t="s">
        <v>240</v>
      </c>
      <c r="B550" t="s">
        <v>163</v>
      </c>
      <c r="C550">
        <v>220</v>
      </c>
      <c r="D550" t="s">
        <v>31</v>
      </c>
      <c r="E550" t="s">
        <v>70</v>
      </c>
      <c r="F550">
        <v>0</v>
      </c>
      <c r="G550" t="s">
        <v>71</v>
      </c>
    </row>
    <row r="551" spans="1:13" x14ac:dyDescent="0.3">
      <c r="A551" t="s">
        <v>240</v>
      </c>
      <c r="B551" t="s">
        <v>166</v>
      </c>
      <c r="C551">
        <v>180</v>
      </c>
      <c r="D551" t="s">
        <v>60</v>
      </c>
      <c r="E551" t="s">
        <v>65</v>
      </c>
      <c r="F551">
        <v>0</v>
      </c>
      <c r="G551" t="s">
        <v>74</v>
      </c>
    </row>
    <row r="552" spans="1:13" x14ac:dyDescent="0.3">
      <c r="A552" t="s">
        <v>240</v>
      </c>
      <c r="B552" t="s">
        <v>168</v>
      </c>
      <c r="C552">
        <v>280</v>
      </c>
      <c r="D552" t="s">
        <v>31</v>
      </c>
      <c r="E552" t="s">
        <v>61</v>
      </c>
      <c r="F552" t="s">
        <v>77</v>
      </c>
    </row>
    <row r="553" spans="1:13" x14ac:dyDescent="0.3">
      <c r="A553" t="s">
        <v>240</v>
      </c>
      <c r="B553" t="s">
        <v>76</v>
      </c>
      <c r="C553">
        <v>500</v>
      </c>
      <c r="D553" t="s">
        <v>60</v>
      </c>
      <c r="E553" t="s">
        <v>65</v>
      </c>
      <c r="F553" t="s">
        <v>80</v>
      </c>
    </row>
    <row r="554" spans="1:13" x14ac:dyDescent="0.3">
      <c r="A554" t="s">
        <v>240</v>
      </c>
      <c r="B554" t="s">
        <v>172</v>
      </c>
      <c r="C554">
        <v>160</v>
      </c>
      <c r="D554" t="s">
        <v>31</v>
      </c>
      <c r="E554" t="s">
        <v>70</v>
      </c>
      <c r="F554">
        <v>15</v>
      </c>
      <c r="G554" t="s">
        <v>126</v>
      </c>
    </row>
    <row r="555" spans="1:13" x14ac:dyDescent="0.3">
      <c r="A555" t="s">
        <v>240</v>
      </c>
      <c r="B555" t="s">
        <v>188</v>
      </c>
      <c r="C555" t="s">
        <v>60</v>
      </c>
      <c r="D555" t="s">
        <v>61</v>
      </c>
      <c r="E555" t="s">
        <v>86</v>
      </c>
      <c r="M555" s="1"/>
    </row>
    <row r="556" spans="1:13" x14ac:dyDescent="0.3">
      <c r="A556" t="s">
        <v>240</v>
      </c>
      <c r="B556" t="s">
        <v>190</v>
      </c>
      <c r="C556" t="s">
        <v>31</v>
      </c>
      <c r="D556" t="s">
        <v>65</v>
      </c>
      <c r="E556">
        <v>0</v>
      </c>
      <c r="F556" t="s">
        <v>71</v>
      </c>
    </row>
    <row r="557" spans="1:13" x14ac:dyDescent="0.3">
      <c r="A557" t="s">
        <v>240</v>
      </c>
      <c r="B557" t="s">
        <v>178</v>
      </c>
      <c r="C557">
        <v>140</v>
      </c>
      <c r="D557" t="s">
        <v>60</v>
      </c>
      <c r="E557" t="s">
        <v>65</v>
      </c>
      <c r="F557">
        <v>20</v>
      </c>
      <c r="G557" t="s">
        <v>74</v>
      </c>
      <c r="M557" s="1"/>
    </row>
    <row r="558" spans="1:13" x14ac:dyDescent="0.3">
      <c r="A558" t="s">
        <v>240</v>
      </c>
      <c r="B558" t="s">
        <v>90</v>
      </c>
      <c r="C558">
        <v>100</v>
      </c>
      <c r="D558" t="s">
        <v>31</v>
      </c>
      <c r="E558" t="s">
        <v>70</v>
      </c>
      <c r="F558">
        <v>0</v>
      </c>
      <c r="G558" t="s">
        <v>93</v>
      </c>
    </row>
    <row r="559" spans="1:13" x14ac:dyDescent="0.3">
      <c r="A559" t="s">
        <v>240</v>
      </c>
      <c r="B559" t="s">
        <v>92</v>
      </c>
      <c r="C559">
        <v>320</v>
      </c>
      <c r="D559" t="s">
        <v>60</v>
      </c>
      <c r="E559" t="s">
        <v>61</v>
      </c>
      <c r="F559" t="s">
        <v>62</v>
      </c>
    </row>
    <row r="560" spans="1:13" x14ac:dyDescent="0.3">
      <c r="A560" t="s">
        <v>240</v>
      </c>
      <c r="B560" t="s">
        <v>95</v>
      </c>
      <c r="C560">
        <v>350</v>
      </c>
      <c r="D560" t="s">
        <v>31</v>
      </c>
      <c r="E560" t="s">
        <v>65</v>
      </c>
      <c r="F560">
        <v>25</v>
      </c>
      <c r="G560" t="s">
        <v>195</v>
      </c>
    </row>
    <row r="561" spans="1:13" x14ac:dyDescent="0.3">
      <c r="A561" t="s">
        <v>240</v>
      </c>
      <c r="B561" t="s">
        <v>98</v>
      </c>
      <c r="C561" t="s">
        <v>60</v>
      </c>
      <c r="D561" t="s">
        <v>65</v>
      </c>
      <c r="E561" t="s">
        <v>86</v>
      </c>
      <c r="M561" s="1"/>
    </row>
    <row r="562" spans="1:13" x14ac:dyDescent="0.3">
      <c r="A562" t="s">
        <v>240</v>
      </c>
      <c r="B562" t="s">
        <v>198</v>
      </c>
      <c r="C562">
        <v>300</v>
      </c>
      <c r="D562" t="s">
        <v>31</v>
      </c>
      <c r="E562" t="s">
        <v>61</v>
      </c>
      <c r="F562" t="s">
        <v>103</v>
      </c>
    </row>
    <row r="563" spans="1:13" x14ac:dyDescent="0.3">
      <c r="A563" t="s">
        <v>240</v>
      </c>
      <c r="B563" t="s">
        <v>102</v>
      </c>
      <c r="C563">
        <v>150</v>
      </c>
      <c r="D563" t="s">
        <v>60</v>
      </c>
      <c r="E563" t="s">
        <v>65</v>
      </c>
      <c r="F563">
        <v>10</v>
      </c>
      <c r="G563" t="s">
        <v>74</v>
      </c>
    </row>
    <row r="564" spans="1:13" x14ac:dyDescent="0.3">
      <c r="A564" t="s">
        <v>240</v>
      </c>
      <c r="B564" t="s">
        <v>201</v>
      </c>
      <c r="C564">
        <v>400</v>
      </c>
      <c r="D564" t="s">
        <v>31</v>
      </c>
      <c r="E564" t="s">
        <v>70</v>
      </c>
      <c r="F564">
        <v>0</v>
      </c>
      <c r="G564" t="s">
        <v>93</v>
      </c>
    </row>
    <row r="565" spans="1:13" x14ac:dyDescent="0.3">
      <c r="A565" t="s">
        <v>240</v>
      </c>
      <c r="B565" t="s">
        <v>108</v>
      </c>
      <c r="C565">
        <v>250</v>
      </c>
      <c r="D565" t="s">
        <v>60</v>
      </c>
      <c r="E565" t="s">
        <v>61</v>
      </c>
      <c r="F565" t="s">
        <v>62</v>
      </c>
    </row>
    <row r="566" spans="1:13" x14ac:dyDescent="0.3">
      <c r="A566" t="s">
        <v>240</v>
      </c>
      <c r="B566" t="s">
        <v>110</v>
      </c>
      <c r="C566">
        <v>150</v>
      </c>
      <c r="D566" t="s">
        <v>31</v>
      </c>
      <c r="E566" t="s">
        <v>65</v>
      </c>
      <c r="F566" t="s">
        <v>204</v>
      </c>
    </row>
    <row r="567" spans="1:13" x14ac:dyDescent="0.3">
      <c r="A567" t="s">
        <v>240</v>
      </c>
      <c r="B567" t="s">
        <v>112</v>
      </c>
      <c r="C567">
        <v>300</v>
      </c>
      <c r="D567" t="s">
        <v>60</v>
      </c>
      <c r="E567" t="s">
        <v>65</v>
      </c>
      <c r="F567">
        <v>0</v>
      </c>
      <c r="G567" t="s">
        <v>115</v>
      </c>
      <c r="M567" s="1"/>
    </row>
    <row r="568" spans="1:13" x14ac:dyDescent="0.3">
      <c r="A568" t="s">
        <v>240</v>
      </c>
      <c r="B568" t="s">
        <v>207</v>
      </c>
      <c r="C568">
        <v>180</v>
      </c>
      <c r="D568" t="s">
        <v>31</v>
      </c>
      <c r="E568" t="s">
        <v>61</v>
      </c>
      <c r="F568" t="s">
        <v>103</v>
      </c>
    </row>
    <row r="569" spans="1:13" x14ac:dyDescent="0.3">
      <c r="A569" t="s">
        <v>240</v>
      </c>
      <c r="B569" t="s">
        <v>117</v>
      </c>
      <c r="C569">
        <v>90</v>
      </c>
      <c r="D569" t="s">
        <v>60</v>
      </c>
      <c r="E569" t="s">
        <v>65</v>
      </c>
      <c r="F569" t="s">
        <v>120</v>
      </c>
    </row>
    <row r="570" spans="1:13" x14ac:dyDescent="0.3">
      <c r="A570" t="s">
        <v>240</v>
      </c>
      <c r="B570" t="s">
        <v>119</v>
      </c>
      <c r="C570">
        <v>320</v>
      </c>
      <c r="D570" t="s">
        <v>31</v>
      </c>
      <c r="E570" t="s">
        <v>70</v>
      </c>
      <c r="F570">
        <v>0</v>
      </c>
      <c r="G570" t="s">
        <v>93</v>
      </c>
    </row>
    <row r="571" spans="1:13" x14ac:dyDescent="0.3">
      <c r="A571" t="s">
        <v>240</v>
      </c>
      <c r="B571" t="s">
        <v>122</v>
      </c>
      <c r="C571">
        <v>120</v>
      </c>
      <c r="D571" t="s">
        <v>60</v>
      </c>
      <c r="E571" t="s">
        <v>65</v>
      </c>
      <c r="F571">
        <v>0</v>
      </c>
      <c r="G571" t="s">
        <v>126</v>
      </c>
      <c r="M571" s="1"/>
    </row>
    <row r="572" spans="1:13" x14ac:dyDescent="0.3">
      <c r="A572" t="s">
        <v>240</v>
      </c>
      <c r="B572" t="s">
        <v>212</v>
      </c>
      <c r="C572">
        <v>450</v>
      </c>
      <c r="D572" t="s">
        <v>31</v>
      </c>
      <c r="E572" t="s">
        <v>61</v>
      </c>
      <c r="F572">
        <v>10</v>
      </c>
      <c r="G572" t="s">
        <v>195</v>
      </c>
    </row>
    <row r="573" spans="1:13" x14ac:dyDescent="0.3">
      <c r="A573" t="s">
        <v>240</v>
      </c>
      <c r="B573" t="s">
        <v>128</v>
      </c>
      <c r="C573">
        <v>260</v>
      </c>
      <c r="D573" t="s">
        <v>60</v>
      </c>
      <c r="E573" t="s">
        <v>61</v>
      </c>
      <c r="F573" t="s">
        <v>86</v>
      </c>
    </row>
    <row r="574" spans="1:13" x14ac:dyDescent="0.3">
      <c r="A574" t="s">
        <v>240</v>
      </c>
      <c r="B574" t="s">
        <v>130</v>
      </c>
      <c r="C574">
        <v>300</v>
      </c>
      <c r="D574" t="s">
        <v>31</v>
      </c>
      <c r="E574" t="s">
        <v>70</v>
      </c>
      <c r="F574" t="s">
        <v>103</v>
      </c>
    </row>
    <row r="575" spans="1:13" x14ac:dyDescent="0.3">
      <c r="A575" t="s">
        <v>240</v>
      </c>
      <c r="B575" t="s">
        <v>132</v>
      </c>
      <c r="C575">
        <v>200</v>
      </c>
      <c r="D575" t="s">
        <v>60</v>
      </c>
      <c r="E575" t="s">
        <v>65</v>
      </c>
      <c r="F575">
        <v>25</v>
      </c>
      <c r="G575" t="s">
        <v>74</v>
      </c>
      <c r="M575" s="1"/>
    </row>
    <row r="576" spans="1:13" x14ac:dyDescent="0.3">
      <c r="A576" t="s">
        <v>240</v>
      </c>
      <c r="B576" t="s">
        <v>134</v>
      </c>
      <c r="C576">
        <v>240</v>
      </c>
      <c r="D576" t="s">
        <v>31</v>
      </c>
      <c r="E576" t="s">
        <v>65</v>
      </c>
      <c r="F576">
        <v>0</v>
      </c>
      <c r="G576" t="s">
        <v>93</v>
      </c>
    </row>
    <row r="577" spans="1:6" x14ac:dyDescent="0.3">
      <c r="A577" t="s">
        <v>240</v>
      </c>
      <c r="B577" t="s">
        <v>136</v>
      </c>
      <c r="C577">
        <v>320</v>
      </c>
      <c r="D577" t="s">
        <v>60</v>
      </c>
      <c r="E577" t="s">
        <v>61</v>
      </c>
      <c r="F577" t="s">
        <v>62</v>
      </c>
    </row>
    <row r="578" spans="1:6" x14ac:dyDescent="0.3">
      <c r="A578" t="s">
        <v>240</v>
      </c>
      <c r="B578" t="s">
        <v>138</v>
      </c>
      <c r="C578">
        <v>200</v>
      </c>
      <c r="D578" t="s">
        <v>31</v>
      </c>
      <c r="E578" t="s">
        <v>65</v>
      </c>
      <c r="F578" t="s">
        <v>80</v>
      </c>
    </row>
    <row r="579" spans="1:6" x14ac:dyDescent="0.3">
      <c r="A579" t="s">
        <v>240</v>
      </c>
      <c r="B579" t="s">
        <v>140</v>
      </c>
      <c r="C579">
        <v>250</v>
      </c>
      <c r="D579" t="s">
        <v>60</v>
      </c>
      <c r="E579" t="s">
        <v>70</v>
      </c>
      <c r="F579" t="s">
        <v>220</v>
      </c>
    </row>
    <row r="580" spans="1:6" x14ac:dyDescent="0.3">
      <c r="A580" t="s">
        <v>240</v>
      </c>
      <c r="B580" t="s">
        <v>143</v>
      </c>
      <c r="C580">
        <v>180</v>
      </c>
      <c r="D580" t="s">
        <v>31</v>
      </c>
      <c r="E580" t="s">
        <v>65</v>
      </c>
      <c r="F580"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C15307-D1D5-4AC8-AA40-FB650C49AE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Interactive_Dashboard</vt:lpstr>
      <vt:lpstr>Product_Performance</vt:lpstr>
      <vt:lpstr>Customer_Analysis</vt:lpstr>
      <vt:lpstr>Discount_Analysis</vt:lpstr>
      <vt:lpstr>Location Analysis</vt:lpstr>
      <vt:lpstr>Sales_Trend</vt:lpstr>
      <vt:lpstr>Cleaned_Swiggy_Dataset</vt:lpstr>
      <vt:lpstr>Advanced - Swiggy Orders Data</vt:lpstr>
      <vt:lpstr>Swiggy Orders Raw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dikshitajena@gmail.com</cp:lastModifiedBy>
  <dcterms:created xsi:type="dcterms:W3CDTF">2026-07-03T15:07:59Z</dcterms:created>
  <dcterms:modified xsi:type="dcterms:W3CDTF">2026-10-27T12:56:03Z</dcterms:modified>
</cp:coreProperties>
</file>